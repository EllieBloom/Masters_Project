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liebloom/Desktop/Masters/Project/Analysis/Descriptive/Ouputs/Google/"/>
    </mc:Choice>
  </mc:AlternateContent>
  <xr:revisionPtr revIDLastSave="0" documentId="13_ncr:1_{EA089662-BF21-B44C-8C6B-4A3749333B09}" xr6:coauthVersionLast="47" xr6:coauthVersionMax="47" xr10:uidLastSave="{00000000-0000-0000-0000-000000000000}"/>
  <bookViews>
    <workbookView xWindow="0" yWindow="500" windowWidth="38400" windowHeight="23500" activeTab="1" xr2:uid="{00000000-000D-0000-FFFF-FFFF00000000}"/>
  </bookViews>
  <sheets>
    <sheet name="Missingness_no" sheetId="1" r:id="rId1"/>
    <sheet name="Missingness_%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9" i="3" l="1"/>
  <c r="E89" i="3"/>
  <c r="F89" i="3"/>
  <c r="G89" i="3"/>
  <c r="H89" i="3"/>
  <c r="C89" i="3"/>
  <c r="D89" i="1"/>
  <c r="E89" i="1"/>
  <c r="F89" i="1"/>
  <c r="G89" i="1"/>
  <c r="H89" i="1"/>
  <c r="C89" i="1"/>
</calcChain>
</file>

<file path=xl/sharedStrings.xml><?xml version="1.0" encoding="utf-8"?>
<sst xmlns="http://schemas.openxmlformats.org/spreadsheetml/2006/main" count="402" uniqueCount="96">
  <si>
    <t>Parks</t>
  </si>
  <si>
    <t>Residential</t>
  </si>
  <si>
    <t>Transit Stations</t>
  </si>
  <si>
    <t>Grocery and Pharmacy</t>
  </si>
  <si>
    <t>Retail and recreation</t>
  </si>
  <si>
    <t>Workplaces</t>
  </si>
  <si>
    <t>Bath and North East Somerset</t>
  </si>
  <si>
    <t>Bedford</t>
  </si>
  <si>
    <t>Blackburn with Darwen</t>
  </si>
  <si>
    <t>Blackpool</t>
  </si>
  <si>
    <t>Borough of Halton</t>
  </si>
  <si>
    <t xml:space="preserve"> -   </t>
  </si>
  <si>
    <t>Bracknell Forest</t>
  </si>
  <si>
    <t>Brighton and Hove</t>
  </si>
  <si>
    <t>Bristol City</t>
  </si>
  <si>
    <t>Buckinghamshire</t>
  </si>
  <si>
    <t>Cambridgeshire</t>
  </si>
  <si>
    <t>Central Bedfordshire</t>
  </si>
  <si>
    <t>Cheshire East</t>
  </si>
  <si>
    <t>Cheshire West and Chester</t>
  </si>
  <si>
    <t>Cornwall</t>
  </si>
  <si>
    <t>County Durham</t>
  </si>
  <si>
    <t>Cumbria</t>
  </si>
  <si>
    <t>Darlington</t>
  </si>
  <si>
    <t>Derby</t>
  </si>
  <si>
    <t>Derbyshire</t>
  </si>
  <si>
    <t>Devon</t>
  </si>
  <si>
    <t>Dorset</t>
  </si>
  <si>
    <t>East Riding of Yorkshire</t>
  </si>
  <si>
    <t>East Sussex</t>
  </si>
  <si>
    <t>Essex</t>
  </si>
  <si>
    <t>Gloucestershire</t>
  </si>
  <si>
    <t>Greater London</t>
  </si>
  <si>
    <t>Greater Manchester</t>
  </si>
  <si>
    <t>Hampshire</t>
  </si>
  <si>
    <t>Hartlepool</t>
  </si>
  <si>
    <t>Herefordshire</t>
  </si>
  <si>
    <t>Isle of Wight</t>
  </si>
  <si>
    <t>Kent</t>
  </si>
  <si>
    <t>Kingston upon Hull</t>
  </si>
  <si>
    <t>Lancashire</t>
  </si>
  <si>
    <t>Leicester</t>
  </si>
  <si>
    <t>Leicestershire</t>
  </si>
  <si>
    <t>Lincolnshire</t>
  </si>
  <si>
    <t>Luton</t>
  </si>
  <si>
    <t>Medway</t>
  </si>
  <si>
    <t>Merseyside</t>
  </si>
  <si>
    <t>Middlesbrough</t>
  </si>
  <si>
    <t>Milton Keynes</t>
  </si>
  <si>
    <t>Norfolk</t>
  </si>
  <si>
    <t>North East Lincolnshire</t>
  </si>
  <si>
    <t>North Lincolnshire</t>
  </si>
  <si>
    <t>North Somerset</t>
  </si>
  <si>
    <t>North Yorkshire</t>
  </si>
  <si>
    <t>Northamptonshire</t>
  </si>
  <si>
    <t>Northumberland</t>
  </si>
  <si>
    <t>Nottingham</t>
  </si>
  <si>
    <t>Nottinghamshire</t>
  </si>
  <si>
    <t>Oxfordshire</t>
  </si>
  <si>
    <t>Peterborough</t>
  </si>
  <si>
    <t>Plymouth</t>
  </si>
  <si>
    <t>Portsmouth</t>
  </si>
  <si>
    <t>Reading</t>
  </si>
  <si>
    <t>Redcar and Cleveland</t>
  </si>
  <si>
    <t>Rutland</t>
  </si>
  <si>
    <t>Shropshire</t>
  </si>
  <si>
    <t>Slough</t>
  </si>
  <si>
    <t>Somerset</t>
  </si>
  <si>
    <t>South Gloucestershire</t>
  </si>
  <si>
    <t>South Yorkshire</t>
  </si>
  <si>
    <t>Southampton</t>
  </si>
  <si>
    <t>Southend-on-Sea</t>
  </si>
  <si>
    <t>Staffordshire</t>
  </si>
  <si>
    <t>Stockton-on-Tees</t>
  </si>
  <si>
    <t>Stoke-on-Trent</t>
  </si>
  <si>
    <t>Suffolk</t>
  </si>
  <si>
    <t>Surrey</t>
  </si>
  <si>
    <t>Swindon</t>
  </si>
  <si>
    <t>Thurrock</t>
  </si>
  <si>
    <t>Torbay</t>
  </si>
  <si>
    <t>Tyne and Wear</t>
  </si>
  <si>
    <t>Warrington</t>
  </si>
  <si>
    <t>Warwickshire</t>
  </si>
  <si>
    <t>West Berkshire</t>
  </si>
  <si>
    <t>West Midlands</t>
  </si>
  <si>
    <t>West Sussex</t>
  </si>
  <si>
    <t>West Yorkshire</t>
  </si>
  <si>
    <t>Wiltshire</t>
  </si>
  <si>
    <t>Windsor and Maidenhead</t>
  </si>
  <si>
    <t>Wokingham</t>
  </si>
  <si>
    <t>Worcestershire</t>
  </si>
  <si>
    <t>York</t>
  </si>
  <si>
    <t>Variable (% missing in raw data)</t>
  </si>
  <si>
    <t>Variable (no. missing in raw data)</t>
  </si>
  <si>
    <t>Total</t>
  </si>
  <si>
    <t>Number with &gt;5% 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</si>
</sst>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3" fontId="0" fillId="0" borderId="0" xfId="0" applyNumberFormat="1"/>
    <xf numFmtId="0" fontId="0" fillId="33" borderId="0" xfId="0" applyFill="1"/>
    <xf numFmtId="0" fontId="0" fillId="33" borderId="12" xfId="0" applyFill="1" applyBorder="1"/>
    <xf numFmtId="0" fontId="18" fillId="33" borderId="0" xfId="0" applyFont="1" applyFill="1"/>
    <xf numFmtId="0" fontId="18" fillId="33" borderId="14" xfId="0" applyFont="1" applyFill="1" applyBorder="1"/>
    <xf numFmtId="0" fontId="18" fillId="33" borderId="16" xfId="0" applyFont="1" applyFill="1" applyBorder="1" applyAlignment="1">
      <alignment horizontal="center"/>
    </xf>
    <xf numFmtId="0" fontId="18" fillId="33" borderId="15" xfId="0" applyFont="1" applyFill="1" applyBorder="1" applyAlignment="1">
      <alignment horizontal="center"/>
    </xf>
    <xf numFmtId="0" fontId="18" fillId="33" borderId="17" xfId="0" applyFont="1" applyFill="1" applyBorder="1" applyAlignment="1">
      <alignment horizontal="center"/>
    </xf>
    <xf numFmtId="0" fontId="18" fillId="33" borderId="11" xfId="0" applyFont="1" applyFill="1" applyBorder="1"/>
    <xf numFmtId="0" fontId="18" fillId="33" borderId="10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8" fillId="33" borderId="18" xfId="0" applyFont="1" applyFill="1" applyBorder="1"/>
    <xf numFmtId="0" fontId="18" fillId="33" borderId="13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164" fontId="18" fillId="33" borderId="10" xfId="1" applyNumberFormat="1" applyFont="1" applyFill="1" applyBorder="1" applyAlignment="1">
      <alignment horizontal="center" vertical="center"/>
    </xf>
    <xf numFmtId="164" fontId="18" fillId="33" borderId="11" xfId="1" applyNumberFormat="1" applyFont="1" applyFill="1" applyBorder="1" applyAlignment="1">
      <alignment horizontal="center" vertical="center"/>
    </xf>
    <xf numFmtId="164" fontId="18" fillId="33" borderId="0" xfId="1" applyNumberFormat="1" applyFont="1" applyFill="1" applyBorder="1" applyAlignment="1">
      <alignment horizontal="center" vertical="center"/>
    </xf>
    <xf numFmtId="164" fontId="18" fillId="33" borderId="13" xfId="1" applyNumberFormat="1" applyFont="1" applyFill="1" applyBorder="1" applyAlignment="1">
      <alignment horizontal="center" vertical="center"/>
    </xf>
    <xf numFmtId="164" fontId="18" fillId="33" borderId="18" xfId="1" applyNumberFormat="1" applyFont="1" applyFill="1" applyBorder="1" applyAlignment="1">
      <alignment horizontal="center" vertical="center"/>
    </xf>
    <xf numFmtId="164" fontId="18" fillId="33" borderId="12" xfId="1" applyNumberFormat="1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/>
    </xf>
    <xf numFmtId="0" fontId="18" fillId="33" borderId="12" xfId="0" applyFont="1" applyFill="1" applyBorder="1" applyAlignment="1">
      <alignment horizontal="center"/>
    </xf>
    <xf numFmtId="0" fontId="18" fillId="33" borderId="14" xfId="0" applyFont="1" applyFill="1" applyBorder="1" applyAlignment="1">
      <alignment horizontal="center"/>
    </xf>
    <xf numFmtId="165" fontId="18" fillId="33" borderId="13" xfId="1" applyNumberFormat="1" applyFont="1" applyFill="1" applyBorder="1" applyAlignment="1">
      <alignment horizontal="center" vertical="center"/>
    </xf>
    <xf numFmtId="165" fontId="18" fillId="33" borderId="15" xfId="1" applyNumberFormat="1" applyFont="1" applyFill="1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1"/>
  <sheetViews>
    <sheetView topLeftCell="A40" workbookViewId="0">
      <selection activeCell="L53" sqref="L53"/>
    </sheetView>
  </sheetViews>
  <sheetFormatPr baseColWidth="10" defaultRowHeight="16" x14ac:dyDescent="0.2"/>
  <cols>
    <col min="2" max="2" width="27.5" customWidth="1"/>
    <col min="3" max="8" width="20.5" customWidth="1"/>
  </cols>
  <sheetData>
    <row r="1" spans="1:9" ht="17" thickBot="1" x14ac:dyDescent="0.25">
      <c r="A1" s="2"/>
      <c r="B1" s="2"/>
      <c r="C1" s="3"/>
      <c r="D1" s="3"/>
      <c r="E1" s="3"/>
      <c r="F1" s="3"/>
      <c r="G1" s="3"/>
      <c r="H1" s="3"/>
      <c r="I1" s="2"/>
    </row>
    <row r="2" spans="1:9" ht="17" thickBot="1" x14ac:dyDescent="0.25">
      <c r="A2" s="2"/>
      <c r="B2" s="4"/>
      <c r="C2" s="23" t="s">
        <v>93</v>
      </c>
      <c r="D2" s="24"/>
      <c r="E2" s="24"/>
      <c r="F2" s="24"/>
      <c r="G2" s="24"/>
      <c r="H2" s="25"/>
      <c r="I2" s="2"/>
    </row>
    <row r="3" spans="1:9" ht="17" thickBot="1" x14ac:dyDescent="0.25">
      <c r="A3" s="2"/>
      <c r="B3" s="5"/>
      <c r="C3" s="6" t="s">
        <v>0</v>
      </c>
      <c r="D3" s="7" t="s">
        <v>1</v>
      </c>
      <c r="E3" s="8" t="s">
        <v>2</v>
      </c>
      <c r="F3" s="7" t="s">
        <v>3</v>
      </c>
      <c r="G3" s="8" t="s">
        <v>4</v>
      </c>
      <c r="H3" s="7" t="s">
        <v>5</v>
      </c>
      <c r="I3" s="2"/>
    </row>
    <row r="4" spans="1:9" x14ac:dyDescent="0.2">
      <c r="A4" s="2"/>
      <c r="B4" s="9" t="s">
        <v>6</v>
      </c>
      <c r="C4" s="10">
        <v>48</v>
      </c>
      <c r="D4" s="11">
        <v>33</v>
      </c>
      <c r="E4" s="12">
        <v>22</v>
      </c>
      <c r="F4" s="11">
        <v>22</v>
      </c>
      <c r="G4" s="12">
        <v>19</v>
      </c>
      <c r="H4" s="11">
        <v>3</v>
      </c>
      <c r="I4" s="2"/>
    </row>
    <row r="5" spans="1:9" x14ac:dyDescent="0.2">
      <c r="A5" s="2"/>
      <c r="B5" s="9" t="s">
        <v>7</v>
      </c>
      <c r="C5" s="10">
        <v>320</v>
      </c>
      <c r="D5" s="11">
        <v>25</v>
      </c>
      <c r="E5" s="12">
        <v>22</v>
      </c>
      <c r="F5" s="11">
        <v>21</v>
      </c>
      <c r="G5" s="12">
        <v>19</v>
      </c>
      <c r="H5" s="11">
        <v>6</v>
      </c>
      <c r="I5" s="2"/>
    </row>
    <row r="6" spans="1:9" x14ac:dyDescent="0.2">
      <c r="A6" s="2"/>
      <c r="B6" s="9" t="s">
        <v>8</v>
      </c>
      <c r="C6" s="10">
        <v>809</v>
      </c>
      <c r="D6" s="11">
        <v>42</v>
      </c>
      <c r="E6" s="12">
        <v>22</v>
      </c>
      <c r="F6" s="11">
        <v>22</v>
      </c>
      <c r="G6" s="12">
        <v>22</v>
      </c>
      <c r="H6" s="11">
        <v>3</v>
      </c>
      <c r="I6" s="2"/>
    </row>
    <row r="7" spans="1:9" x14ac:dyDescent="0.2">
      <c r="A7" s="2"/>
      <c r="B7" s="9" t="s">
        <v>9</v>
      </c>
      <c r="C7" s="10">
        <v>374</v>
      </c>
      <c r="D7" s="11">
        <v>26</v>
      </c>
      <c r="E7" s="12">
        <v>25</v>
      </c>
      <c r="F7" s="11">
        <v>25</v>
      </c>
      <c r="G7" s="12">
        <v>25</v>
      </c>
      <c r="H7" s="11">
        <v>6</v>
      </c>
      <c r="I7" s="2"/>
    </row>
    <row r="8" spans="1:9" x14ac:dyDescent="0.2">
      <c r="A8" s="2"/>
      <c r="B8" s="9" t="s">
        <v>10</v>
      </c>
      <c r="C8" s="10">
        <v>631</v>
      </c>
      <c r="D8" s="11">
        <v>59</v>
      </c>
      <c r="E8" s="12">
        <v>19</v>
      </c>
      <c r="F8" s="11">
        <v>19</v>
      </c>
      <c r="G8" s="12">
        <v>19</v>
      </c>
      <c r="H8" s="11" t="s">
        <v>11</v>
      </c>
      <c r="I8" s="2"/>
    </row>
    <row r="9" spans="1:9" x14ac:dyDescent="0.2">
      <c r="A9" s="2"/>
      <c r="B9" s="9" t="s">
        <v>12</v>
      </c>
      <c r="C9" s="10">
        <v>582</v>
      </c>
      <c r="D9" s="11">
        <v>104</v>
      </c>
      <c r="E9" s="12">
        <v>19</v>
      </c>
      <c r="F9" s="11">
        <v>19</v>
      </c>
      <c r="G9" s="12">
        <v>19</v>
      </c>
      <c r="H9" s="11" t="s">
        <v>11</v>
      </c>
      <c r="I9" s="2"/>
    </row>
    <row r="10" spans="1:9" x14ac:dyDescent="0.2">
      <c r="A10" s="2"/>
      <c r="B10" s="9" t="s">
        <v>13</v>
      </c>
      <c r="C10" s="10">
        <v>32</v>
      </c>
      <c r="D10" s="11">
        <v>12</v>
      </c>
      <c r="E10" s="12">
        <v>6</v>
      </c>
      <c r="F10" s="11">
        <v>2</v>
      </c>
      <c r="G10" s="12">
        <v>2</v>
      </c>
      <c r="H10" s="11" t="s">
        <v>11</v>
      </c>
      <c r="I10" s="2"/>
    </row>
    <row r="11" spans="1:9" x14ac:dyDescent="0.2">
      <c r="A11" s="2"/>
      <c r="B11" s="9" t="s">
        <v>14</v>
      </c>
      <c r="C11" s="10">
        <v>25</v>
      </c>
      <c r="D11" s="11" t="s">
        <v>11</v>
      </c>
      <c r="E11" s="12" t="s">
        <v>11</v>
      </c>
      <c r="F11" s="11" t="s">
        <v>11</v>
      </c>
      <c r="G11" s="12" t="s">
        <v>11</v>
      </c>
      <c r="H11" s="11" t="s">
        <v>11</v>
      </c>
      <c r="I11" s="2"/>
    </row>
    <row r="12" spans="1:9" x14ac:dyDescent="0.2">
      <c r="A12" s="2"/>
      <c r="B12" s="9" t="s">
        <v>15</v>
      </c>
      <c r="C12" s="10">
        <v>25</v>
      </c>
      <c r="D12" s="11" t="s">
        <v>11</v>
      </c>
      <c r="E12" s="12" t="s">
        <v>11</v>
      </c>
      <c r="F12" s="11" t="s">
        <v>11</v>
      </c>
      <c r="G12" s="12" t="s">
        <v>11</v>
      </c>
      <c r="H12" s="11" t="s">
        <v>11</v>
      </c>
      <c r="I12" s="2"/>
    </row>
    <row r="13" spans="1:9" x14ac:dyDescent="0.2">
      <c r="A13" s="2"/>
      <c r="B13" s="9" t="s">
        <v>16</v>
      </c>
      <c r="C13" s="10">
        <v>25</v>
      </c>
      <c r="D13" s="11" t="s">
        <v>11</v>
      </c>
      <c r="E13" s="12" t="s">
        <v>11</v>
      </c>
      <c r="F13" s="11" t="s">
        <v>11</v>
      </c>
      <c r="G13" s="12" t="s">
        <v>11</v>
      </c>
      <c r="H13" s="11" t="s">
        <v>11</v>
      </c>
      <c r="I13" s="2"/>
    </row>
    <row r="14" spans="1:9" x14ac:dyDescent="0.2">
      <c r="A14" s="2"/>
      <c r="B14" s="9" t="s">
        <v>17</v>
      </c>
      <c r="C14" s="10">
        <v>43</v>
      </c>
      <c r="D14" s="11">
        <v>19</v>
      </c>
      <c r="E14" s="12">
        <v>7</v>
      </c>
      <c r="F14" s="11">
        <v>6</v>
      </c>
      <c r="G14" s="12">
        <v>6</v>
      </c>
      <c r="H14" s="11">
        <v>1</v>
      </c>
      <c r="I14" s="2"/>
    </row>
    <row r="15" spans="1:9" x14ac:dyDescent="0.2">
      <c r="A15" s="2"/>
      <c r="B15" s="9" t="s">
        <v>18</v>
      </c>
      <c r="C15" s="10">
        <v>25</v>
      </c>
      <c r="D15" s="11">
        <v>3</v>
      </c>
      <c r="E15" s="12">
        <v>3</v>
      </c>
      <c r="F15" s="11" t="s">
        <v>11</v>
      </c>
      <c r="G15" s="12" t="s">
        <v>11</v>
      </c>
      <c r="H15" s="11" t="s">
        <v>11</v>
      </c>
      <c r="I15" s="2"/>
    </row>
    <row r="16" spans="1:9" x14ac:dyDescent="0.2">
      <c r="A16" s="2"/>
      <c r="B16" s="9" t="s">
        <v>19</v>
      </c>
      <c r="C16" s="10">
        <v>25</v>
      </c>
      <c r="D16" s="11">
        <v>3</v>
      </c>
      <c r="E16" s="12">
        <v>3</v>
      </c>
      <c r="F16" s="11" t="s">
        <v>11</v>
      </c>
      <c r="G16" s="12" t="s">
        <v>11</v>
      </c>
      <c r="H16" s="11" t="s">
        <v>11</v>
      </c>
      <c r="I16" s="2"/>
    </row>
    <row r="17" spans="1:9" x14ac:dyDescent="0.2">
      <c r="A17" s="2"/>
      <c r="B17" s="9" t="s">
        <v>20</v>
      </c>
      <c r="C17" s="10">
        <v>27</v>
      </c>
      <c r="D17" s="11">
        <v>6</v>
      </c>
      <c r="E17" s="12">
        <v>3</v>
      </c>
      <c r="F17" s="11" t="s">
        <v>11</v>
      </c>
      <c r="G17" s="12" t="s">
        <v>11</v>
      </c>
      <c r="H17" s="11" t="s">
        <v>11</v>
      </c>
      <c r="I17" s="2"/>
    </row>
    <row r="18" spans="1:9" x14ac:dyDescent="0.2">
      <c r="A18" s="2"/>
      <c r="B18" s="9" t="s">
        <v>21</v>
      </c>
      <c r="C18" s="10">
        <v>25</v>
      </c>
      <c r="D18" s="11">
        <v>3</v>
      </c>
      <c r="E18" s="12" t="s">
        <v>11</v>
      </c>
      <c r="F18" s="11" t="s">
        <v>11</v>
      </c>
      <c r="G18" s="12" t="s">
        <v>11</v>
      </c>
      <c r="H18" s="11" t="s">
        <v>11</v>
      </c>
      <c r="I18" s="2"/>
    </row>
    <row r="19" spans="1:9" x14ac:dyDescent="0.2">
      <c r="A19" s="2"/>
      <c r="B19" s="9" t="s">
        <v>22</v>
      </c>
      <c r="C19" s="10">
        <v>25</v>
      </c>
      <c r="D19" s="11">
        <v>1</v>
      </c>
      <c r="E19" s="12" t="s">
        <v>11</v>
      </c>
      <c r="F19" s="11" t="s">
        <v>11</v>
      </c>
      <c r="G19" s="12" t="s">
        <v>11</v>
      </c>
      <c r="H19" s="11" t="s">
        <v>11</v>
      </c>
      <c r="I19" s="2"/>
    </row>
    <row r="20" spans="1:9" x14ac:dyDescent="0.2">
      <c r="A20" s="2"/>
      <c r="B20" s="9" t="s">
        <v>23</v>
      </c>
      <c r="C20" s="10">
        <v>688</v>
      </c>
      <c r="D20" s="11">
        <v>62</v>
      </c>
      <c r="E20" s="12">
        <v>19</v>
      </c>
      <c r="F20" s="11">
        <v>19</v>
      </c>
      <c r="G20" s="12">
        <v>19</v>
      </c>
      <c r="H20" s="11" t="s">
        <v>11</v>
      </c>
      <c r="I20" s="2"/>
    </row>
    <row r="21" spans="1:9" x14ac:dyDescent="0.2">
      <c r="A21" s="2"/>
      <c r="B21" s="9" t="s">
        <v>24</v>
      </c>
      <c r="C21" s="10">
        <v>266</v>
      </c>
      <c r="D21" s="11">
        <v>6</v>
      </c>
      <c r="E21" s="12">
        <v>5</v>
      </c>
      <c r="F21" s="11">
        <v>3</v>
      </c>
      <c r="G21" s="12" t="s">
        <v>11</v>
      </c>
      <c r="H21" s="11" t="s">
        <v>11</v>
      </c>
      <c r="I21" s="2"/>
    </row>
    <row r="22" spans="1:9" x14ac:dyDescent="0.2">
      <c r="A22" s="2"/>
      <c r="B22" s="9" t="s">
        <v>25</v>
      </c>
      <c r="C22" s="10">
        <v>20</v>
      </c>
      <c r="D22" s="11" t="s">
        <v>11</v>
      </c>
      <c r="E22" s="12" t="s">
        <v>11</v>
      </c>
      <c r="F22" s="11" t="s">
        <v>11</v>
      </c>
      <c r="G22" s="12" t="s">
        <v>11</v>
      </c>
      <c r="H22" s="11" t="s">
        <v>11</v>
      </c>
      <c r="I22" s="2"/>
    </row>
    <row r="23" spans="1:9" x14ac:dyDescent="0.2">
      <c r="A23" s="2"/>
      <c r="B23" s="9" t="s">
        <v>26</v>
      </c>
      <c r="C23" s="10">
        <v>23</v>
      </c>
      <c r="D23" s="11" t="s">
        <v>11</v>
      </c>
      <c r="E23" s="12" t="s">
        <v>11</v>
      </c>
      <c r="F23" s="11" t="s">
        <v>11</v>
      </c>
      <c r="G23" s="12" t="s">
        <v>11</v>
      </c>
      <c r="H23" s="11" t="s">
        <v>11</v>
      </c>
      <c r="I23" s="2"/>
    </row>
    <row r="24" spans="1:9" x14ac:dyDescent="0.2">
      <c r="A24" s="2"/>
      <c r="B24" s="9" t="s">
        <v>27</v>
      </c>
      <c r="C24" s="10">
        <v>26</v>
      </c>
      <c r="D24" s="11" t="s">
        <v>11</v>
      </c>
      <c r="E24" s="12" t="s">
        <v>11</v>
      </c>
      <c r="F24" s="11" t="s">
        <v>11</v>
      </c>
      <c r="G24" s="12" t="s">
        <v>11</v>
      </c>
      <c r="H24" s="11" t="s">
        <v>11</v>
      </c>
      <c r="I24" s="2"/>
    </row>
    <row r="25" spans="1:9" x14ac:dyDescent="0.2">
      <c r="A25" s="2"/>
      <c r="B25" s="9" t="s">
        <v>28</v>
      </c>
      <c r="C25" s="10">
        <v>29</v>
      </c>
      <c r="D25" s="11">
        <v>25</v>
      </c>
      <c r="E25" s="12">
        <v>22</v>
      </c>
      <c r="F25" s="11">
        <v>3</v>
      </c>
      <c r="G25" s="12">
        <v>3</v>
      </c>
      <c r="H25" s="11" t="s">
        <v>11</v>
      </c>
      <c r="I25" s="2"/>
    </row>
    <row r="26" spans="1:9" x14ac:dyDescent="0.2">
      <c r="A26" s="2"/>
      <c r="B26" s="9" t="s">
        <v>29</v>
      </c>
      <c r="C26" s="10">
        <v>25</v>
      </c>
      <c r="D26" s="11">
        <v>1</v>
      </c>
      <c r="E26" s="12" t="s">
        <v>11</v>
      </c>
      <c r="F26" s="11" t="s">
        <v>11</v>
      </c>
      <c r="G26" s="12" t="s">
        <v>11</v>
      </c>
      <c r="H26" s="11" t="s">
        <v>11</v>
      </c>
      <c r="I26" s="2"/>
    </row>
    <row r="27" spans="1:9" x14ac:dyDescent="0.2">
      <c r="A27" s="2"/>
      <c r="B27" s="9" t="s">
        <v>30</v>
      </c>
      <c r="C27" s="10">
        <v>19</v>
      </c>
      <c r="D27" s="11" t="s">
        <v>11</v>
      </c>
      <c r="E27" s="12" t="s">
        <v>11</v>
      </c>
      <c r="F27" s="11" t="s">
        <v>11</v>
      </c>
      <c r="G27" s="12" t="s">
        <v>11</v>
      </c>
      <c r="H27" s="11" t="s">
        <v>11</v>
      </c>
      <c r="I27" s="2"/>
    </row>
    <row r="28" spans="1:9" x14ac:dyDescent="0.2">
      <c r="A28" s="2"/>
      <c r="B28" s="9" t="s">
        <v>31</v>
      </c>
      <c r="C28" s="10">
        <v>25</v>
      </c>
      <c r="D28" s="11" t="s">
        <v>11</v>
      </c>
      <c r="E28" s="12" t="s">
        <v>11</v>
      </c>
      <c r="F28" s="11" t="s">
        <v>11</v>
      </c>
      <c r="G28" s="12" t="s">
        <v>11</v>
      </c>
      <c r="H28" s="11" t="s">
        <v>11</v>
      </c>
      <c r="I28" s="2"/>
    </row>
    <row r="29" spans="1:9" x14ac:dyDescent="0.2">
      <c r="A29" s="2"/>
      <c r="B29" s="9" t="s">
        <v>32</v>
      </c>
      <c r="C29" s="10" t="s">
        <v>11</v>
      </c>
      <c r="D29" s="11" t="s">
        <v>11</v>
      </c>
      <c r="E29" s="12" t="s">
        <v>11</v>
      </c>
      <c r="F29" s="11" t="s">
        <v>11</v>
      </c>
      <c r="G29" s="12" t="s">
        <v>11</v>
      </c>
      <c r="H29" s="11" t="s">
        <v>11</v>
      </c>
      <c r="I29" s="2"/>
    </row>
    <row r="30" spans="1:9" x14ac:dyDescent="0.2">
      <c r="A30" s="2"/>
      <c r="B30" s="9" t="s">
        <v>33</v>
      </c>
      <c r="C30" s="10" t="s">
        <v>11</v>
      </c>
      <c r="D30" s="11" t="s">
        <v>11</v>
      </c>
      <c r="E30" s="12" t="s">
        <v>11</v>
      </c>
      <c r="F30" s="11" t="s">
        <v>11</v>
      </c>
      <c r="G30" s="12" t="s">
        <v>11</v>
      </c>
      <c r="H30" s="11" t="s">
        <v>11</v>
      </c>
      <c r="I30" s="2"/>
    </row>
    <row r="31" spans="1:9" x14ac:dyDescent="0.2">
      <c r="A31" s="2"/>
      <c r="B31" s="9" t="s">
        <v>34</v>
      </c>
      <c r="C31" s="10">
        <v>12</v>
      </c>
      <c r="D31" s="11" t="s">
        <v>11</v>
      </c>
      <c r="E31" s="12" t="s">
        <v>11</v>
      </c>
      <c r="F31" s="11" t="s">
        <v>11</v>
      </c>
      <c r="G31" s="12" t="s">
        <v>11</v>
      </c>
      <c r="H31" s="11" t="s">
        <v>11</v>
      </c>
      <c r="I31" s="2"/>
    </row>
    <row r="32" spans="1:9" x14ac:dyDescent="0.2">
      <c r="A32" s="2"/>
      <c r="B32" s="9" t="s">
        <v>35</v>
      </c>
      <c r="C32" s="10">
        <v>799</v>
      </c>
      <c r="D32" s="11">
        <v>180</v>
      </c>
      <c r="E32" s="12">
        <v>19</v>
      </c>
      <c r="F32" s="11">
        <v>19</v>
      </c>
      <c r="G32" s="12">
        <v>19</v>
      </c>
      <c r="H32" s="11">
        <v>18</v>
      </c>
      <c r="I32" s="2"/>
    </row>
    <row r="33" spans="1:9" x14ac:dyDescent="0.2">
      <c r="A33" s="2"/>
      <c r="B33" s="9" t="s">
        <v>36</v>
      </c>
      <c r="C33" s="10">
        <v>39</v>
      </c>
      <c r="D33" s="11">
        <v>24</v>
      </c>
      <c r="E33" s="12">
        <v>22</v>
      </c>
      <c r="F33" s="11">
        <v>22</v>
      </c>
      <c r="G33" s="12">
        <v>22</v>
      </c>
      <c r="H33" s="11">
        <v>3</v>
      </c>
      <c r="I33" s="2"/>
    </row>
    <row r="34" spans="1:9" x14ac:dyDescent="0.2">
      <c r="A34" s="2"/>
      <c r="B34" s="9" t="s">
        <v>37</v>
      </c>
      <c r="C34" s="10">
        <v>51</v>
      </c>
      <c r="D34" s="11">
        <v>47</v>
      </c>
      <c r="E34" s="12">
        <v>22</v>
      </c>
      <c r="F34" s="11">
        <v>22</v>
      </c>
      <c r="G34" s="12">
        <v>22</v>
      </c>
      <c r="H34" s="11">
        <v>3</v>
      </c>
      <c r="I34" s="2"/>
    </row>
    <row r="35" spans="1:9" x14ac:dyDescent="0.2">
      <c r="A35" s="2"/>
      <c r="B35" s="9" t="s">
        <v>38</v>
      </c>
      <c r="C35" s="10">
        <v>2</v>
      </c>
      <c r="D35" s="11" t="s">
        <v>11</v>
      </c>
      <c r="E35" s="12" t="s">
        <v>11</v>
      </c>
      <c r="F35" s="11" t="s">
        <v>11</v>
      </c>
      <c r="G35" s="12" t="s">
        <v>11</v>
      </c>
      <c r="H35" s="11" t="s">
        <v>11</v>
      </c>
      <c r="I35" s="2"/>
    </row>
    <row r="36" spans="1:9" x14ac:dyDescent="0.2">
      <c r="A36" s="2"/>
      <c r="B36" s="9" t="s">
        <v>39</v>
      </c>
      <c r="C36" s="10">
        <v>41</v>
      </c>
      <c r="D36" s="11">
        <v>6</v>
      </c>
      <c r="E36" s="12">
        <v>3</v>
      </c>
      <c r="F36" s="11" t="s">
        <v>11</v>
      </c>
      <c r="G36" s="12" t="s">
        <v>11</v>
      </c>
      <c r="H36" s="11" t="s">
        <v>11</v>
      </c>
      <c r="I36" s="2"/>
    </row>
    <row r="37" spans="1:9" x14ac:dyDescent="0.2">
      <c r="A37" s="2"/>
      <c r="B37" s="9" t="s">
        <v>40</v>
      </c>
      <c r="C37" s="10">
        <v>21</v>
      </c>
      <c r="D37" s="11" t="s">
        <v>11</v>
      </c>
      <c r="E37" s="12" t="s">
        <v>11</v>
      </c>
      <c r="F37" s="11" t="s">
        <v>11</v>
      </c>
      <c r="G37" s="12" t="s">
        <v>11</v>
      </c>
      <c r="H37" s="11" t="s">
        <v>11</v>
      </c>
      <c r="I37" s="2"/>
    </row>
    <row r="38" spans="1:9" x14ac:dyDescent="0.2">
      <c r="A38" s="2"/>
      <c r="B38" s="9" t="s">
        <v>41</v>
      </c>
      <c r="C38" s="10">
        <v>28</v>
      </c>
      <c r="D38" s="11">
        <v>3</v>
      </c>
      <c r="E38" s="12" t="s">
        <v>11</v>
      </c>
      <c r="F38" s="11" t="s">
        <v>11</v>
      </c>
      <c r="G38" s="12" t="s">
        <v>11</v>
      </c>
      <c r="H38" s="11" t="s">
        <v>11</v>
      </c>
      <c r="I38" s="2"/>
    </row>
    <row r="39" spans="1:9" x14ac:dyDescent="0.2">
      <c r="A39" s="2"/>
      <c r="B39" s="9" t="s">
        <v>42</v>
      </c>
      <c r="C39" s="10">
        <v>25</v>
      </c>
      <c r="D39" s="11" t="s">
        <v>11</v>
      </c>
      <c r="E39" s="12" t="s">
        <v>11</v>
      </c>
      <c r="F39" s="11" t="s">
        <v>11</v>
      </c>
      <c r="G39" s="12" t="s">
        <v>11</v>
      </c>
      <c r="H39" s="11" t="s">
        <v>11</v>
      </c>
      <c r="I39" s="2"/>
    </row>
    <row r="40" spans="1:9" x14ac:dyDescent="0.2">
      <c r="A40" s="2"/>
      <c r="B40" s="9" t="s">
        <v>43</v>
      </c>
      <c r="C40" s="10">
        <v>25</v>
      </c>
      <c r="D40" s="11">
        <v>3</v>
      </c>
      <c r="E40" s="12" t="s">
        <v>11</v>
      </c>
      <c r="F40" s="11" t="s">
        <v>11</v>
      </c>
      <c r="G40" s="12" t="s">
        <v>11</v>
      </c>
      <c r="H40" s="11" t="s">
        <v>11</v>
      </c>
      <c r="I40" s="2"/>
    </row>
    <row r="41" spans="1:9" x14ac:dyDescent="0.2">
      <c r="A41" s="2"/>
      <c r="B41" s="9" t="s">
        <v>44</v>
      </c>
      <c r="C41" s="10">
        <v>773</v>
      </c>
      <c r="D41" s="11">
        <v>25</v>
      </c>
      <c r="E41" s="12">
        <v>25</v>
      </c>
      <c r="F41" s="11">
        <v>6</v>
      </c>
      <c r="G41" s="12">
        <v>4</v>
      </c>
      <c r="H41" s="11" t="s">
        <v>11</v>
      </c>
      <c r="I41" s="2"/>
    </row>
    <row r="42" spans="1:9" x14ac:dyDescent="0.2">
      <c r="A42" s="2"/>
      <c r="B42" s="9" t="s">
        <v>45</v>
      </c>
      <c r="C42" s="10">
        <v>32</v>
      </c>
      <c r="D42" s="11">
        <v>22</v>
      </c>
      <c r="E42" s="12">
        <v>18</v>
      </c>
      <c r="F42" s="11">
        <v>6</v>
      </c>
      <c r="G42" s="12">
        <v>3</v>
      </c>
      <c r="H42" s="11">
        <v>1</v>
      </c>
      <c r="I42" s="2"/>
    </row>
    <row r="43" spans="1:9" x14ac:dyDescent="0.2">
      <c r="A43" s="2"/>
      <c r="B43" s="9" t="s">
        <v>46</v>
      </c>
      <c r="C43" s="10">
        <v>1</v>
      </c>
      <c r="D43" s="11" t="s">
        <v>11</v>
      </c>
      <c r="E43" s="12" t="s">
        <v>11</v>
      </c>
      <c r="F43" s="11" t="s">
        <v>11</v>
      </c>
      <c r="G43" s="12" t="s">
        <v>11</v>
      </c>
      <c r="H43" s="11" t="s">
        <v>11</v>
      </c>
      <c r="I43" s="2"/>
    </row>
    <row r="44" spans="1:9" x14ac:dyDescent="0.2">
      <c r="A44" s="2"/>
      <c r="B44" s="9" t="s">
        <v>47</v>
      </c>
      <c r="C44" s="10">
        <v>580</v>
      </c>
      <c r="D44" s="11">
        <v>46</v>
      </c>
      <c r="E44" s="12">
        <v>22</v>
      </c>
      <c r="F44" s="11">
        <v>22</v>
      </c>
      <c r="G44" s="12">
        <v>22</v>
      </c>
      <c r="H44" s="11">
        <v>3</v>
      </c>
      <c r="I44" s="2"/>
    </row>
    <row r="45" spans="1:9" x14ac:dyDescent="0.2">
      <c r="A45" s="2"/>
      <c r="B45" s="9" t="s">
        <v>48</v>
      </c>
      <c r="C45" s="10">
        <v>25</v>
      </c>
      <c r="D45" s="11">
        <v>6</v>
      </c>
      <c r="E45" s="12">
        <v>3</v>
      </c>
      <c r="F45" s="11">
        <v>2</v>
      </c>
      <c r="G45" s="12" t="s">
        <v>11</v>
      </c>
      <c r="H45" s="11" t="s">
        <v>11</v>
      </c>
      <c r="I45" s="2"/>
    </row>
    <row r="46" spans="1:9" x14ac:dyDescent="0.2">
      <c r="A46" s="2"/>
      <c r="B46" s="9" t="s">
        <v>49</v>
      </c>
      <c r="C46" s="10">
        <v>24</v>
      </c>
      <c r="D46" s="11" t="s">
        <v>11</v>
      </c>
      <c r="E46" s="12" t="s">
        <v>11</v>
      </c>
      <c r="F46" s="11" t="s">
        <v>11</v>
      </c>
      <c r="G46" s="12" t="s">
        <v>11</v>
      </c>
      <c r="H46" s="11" t="s">
        <v>11</v>
      </c>
      <c r="I46" s="2"/>
    </row>
    <row r="47" spans="1:9" x14ac:dyDescent="0.2">
      <c r="A47" s="2"/>
      <c r="B47" s="9" t="s">
        <v>50</v>
      </c>
      <c r="C47" s="10">
        <v>104</v>
      </c>
      <c r="D47" s="11">
        <v>25</v>
      </c>
      <c r="E47" s="12">
        <v>25</v>
      </c>
      <c r="F47" s="11">
        <v>25</v>
      </c>
      <c r="G47" s="12">
        <v>19</v>
      </c>
      <c r="H47" s="11">
        <v>6</v>
      </c>
      <c r="I47" s="2"/>
    </row>
    <row r="48" spans="1:9" x14ac:dyDescent="0.2">
      <c r="A48" s="2"/>
      <c r="B48" s="9" t="s">
        <v>51</v>
      </c>
      <c r="C48" s="10">
        <v>37</v>
      </c>
      <c r="D48" s="11">
        <v>23</v>
      </c>
      <c r="E48" s="12">
        <v>22</v>
      </c>
      <c r="F48" s="11">
        <v>22</v>
      </c>
      <c r="G48" s="12">
        <v>22</v>
      </c>
      <c r="H48" s="11">
        <v>3</v>
      </c>
      <c r="I48" s="2"/>
    </row>
    <row r="49" spans="1:9" x14ac:dyDescent="0.2">
      <c r="A49" s="2"/>
      <c r="B49" s="9" t="s">
        <v>52</v>
      </c>
      <c r="C49" s="10">
        <v>26</v>
      </c>
      <c r="D49" s="11">
        <v>24</v>
      </c>
      <c r="E49" s="12">
        <v>22</v>
      </c>
      <c r="F49" s="11">
        <v>20</v>
      </c>
      <c r="G49" s="12">
        <v>6</v>
      </c>
      <c r="H49" s="11">
        <v>2</v>
      </c>
      <c r="I49" s="2"/>
    </row>
    <row r="50" spans="1:9" x14ac:dyDescent="0.2">
      <c r="A50" s="2"/>
      <c r="B50" s="9" t="s">
        <v>53</v>
      </c>
      <c r="C50" s="10">
        <v>21</v>
      </c>
      <c r="D50" s="11">
        <v>3</v>
      </c>
      <c r="E50" s="12" t="s">
        <v>11</v>
      </c>
      <c r="F50" s="11" t="s">
        <v>11</v>
      </c>
      <c r="G50" s="12" t="s">
        <v>11</v>
      </c>
      <c r="H50" s="11" t="s">
        <v>11</v>
      </c>
      <c r="I50" s="2"/>
    </row>
    <row r="51" spans="1:9" x14ac:dyDescent="0.2">
      <c r="A51" s="2"/>
      <c r="B51" s="9" t="s">
        <v>54</v>
      </c>
      <c r="C51" s="10">
        <v>25</v>
      </c>
      <c r="D51" s="11" t="s">
        <v>11</v>
      </c>
      <c r="E51" s="12" t="s">
        <v>11</v>
      </c>
      <c r="F51" s="11" t="s">
        <v>11</v>
      </c>
      <c r="G51" s="12" t="s">
        <v>11</v>
      </c>
      <c r="H51" s="11" t="s">
        <v>11</v>
      </c>
      <c r="I51" s="2"/>
    </row>
    <row r="52" spans="1:9" x14ac:dyDescent="0.2">
      <c r="A52" s="2"/>
      <c r="B52" s="9" t="s">
        <v>55</v>
      </c>
      <c r="C52" s="10">
        <v>25</v>
      </c>
      <c r="D52" s="11">
        <v>25</v>
      </c>
      <c r="E52" s="12">
        <v>19</v>
      </c>
      <c r="F52" s="11">
        <v>4</v>
      </c>
      <c r="G52" s="12">
        <v>3</v>
      </c>
      <c r="H52" s="11">
        <v>1</v>
      </c>
      <c r="I52" s="2"/>
    </row>
    <row r="53" spans="1:9" x14ac:dyDescent="0.2">
      <c r="A53" s="2"/>
      <c r="B53" s="9" t="s">
        <v>56</v>
      </c>
      <c r="C53" s="10">
        <v>45</v>
      </c>
      <c r="D53" s="11">
        <v>3</v>
      </c>
      <c r="E53" s="12" t="s">
        <v>11</v>
      </c>
      <c r="F53" s="11" t="s">
        <v>11</v>
      </c>
      <c r="G53" s="12" t="s">
        <v>11</v>
      </c>
      <c r="H53" s="11" t="s">
        <v>11</v>
      </c>
      <c r="I53" s="2"/>
    </row>
    <row r="54" spans="1:9" x14ac:dyDescent="0.2">
      <c r="A54" s="2"/>
      <c r="B54" s="9" t="s">
        <v>57</v>
      </c>
      <c r="C54" s="10">
        <v>25</v>
      </c>
      <c r="D54" s="11" t="s">
        <v>11</v>
      </c>
      <c r="E54" s="12" t="s">
        <v>11</v>
      </c>
      <c r="F54" s="11" t="s">
        <v>11</v>
      </c>
      <c r="G54" s="12" t="s">
        <v>11</v>
      </c>
      <c r="H54" s="11" t="s">
        <v>11</v>
      </c>
      <c r="I54" s="2"/>
    </row>
    <row r="55" spans="1:9" x14ac:dyDescent="0.2">
      <c r="A55" s="2"/>
      <c r="B55" s="9" t="s">
        <v>58</v>
      </c>
      <c r="C55" s="10">
        <v>25</v>
      </c>
      <c r="D55" s="11" t="s">
        <v>11</v>
      </c>
      <c r="E55" s="12" t="s">
        <v>11</v>
      </c>
      <c r="F55" s="11" t="s">
        <v>11</v>
      </c>
      <c r="G55" s="12" t="s">
        <v>11</v>
      </c>
      <c r="H55" s="11" t="s">
        <v>11</v>
      </c>
      <c r="I55" s="2"/>
    </row>
    <row r="56" spans="1:9" x14ac:dyDescent="0.2">
      <c r="A56" s="2"/>
      <c r="B56" s="9" t="s">
        <v>59</v>
      </c>
      <c r="C56" s="10">
        <v>762</v>
      </c>
      <c r="D56" s="11">
        <v>25</v>
      </c>
      <c r="E56" s="12">
        <v>9</v>
      </c>
      <c r="F56" s="11">
        <v>6</v>
      </c>
      <c r="G56" s="12">
        <v>3</v>
      </c>
      <c r="H56" s="11" t="s">
        <v>11</v>
      </c>
      <c r="I56" s="2"/>
    </row>
    <row r="57" spans="1:9" x14ac:dyDescent="0.2">
      <c r="A57" s="2"/>
      <c r="B57" s="9" t="s">
        <v>60</v>
      </c>
      <c r="C57" s="10">
        <v>25</v>
      </c>
      <c r="D57" s="11">
        <v>14</v>
      </c>
      <c r="E57" s="12">
        <v>14</v>
      </c>
      <c r="F57" s="11">
        <v>3</v>
      </c>
      <c r="G57" s="12">
        <v>3</v>
      </c>
      <c r="H57" s="11">
        <v>3</v>
      </c>
      <c r="I57" s="2"/>
    </row>
    <row r="58" spans="1:9" x14ac:dyDescent="0.2">
      <c r="A58" s="2"/>
      <c r="B58" s="9" t="s">
        <v>61</v>
      </c>
      <c r="C58" s="10">
        <v>340</v>
      </c>
      <c r="D58" s="11">
        <v>7</v>
      </c>
      <c r="E58" s="12">
        <v>6</v>
      </c>
      <c r="F58" s="11">
        <v>6</v>
      </c>
      <c r="G58" s="12">
        <v>5</v>
      </c>
      <c r="H58" s="11">
        <v>3</v>
      </c>
      <c r="I58" s="2"/>
    </row>
    <row r="59" spans="1:9" x14ac:dyDescent="0.2">
      <c r="A59" s="2"/>
      <c r="B59" s="9" t="s">
        <v>62</v>
      </c>
      <c r="C59" s="10">
        <v>332</v>
      </c>
      <c r="D59" s="11">
        <v>44</v>
      </c>
      <c r="E59" s="12">
        <v>22</v>
      </c>
      <c r="F59" s="11">
        <v>9</v>
      </c>
      <c r="G59" s="12">
        <v>6</v>
      </c>
      <c r="H59" s="11" t="s">
        <v>11</v>
      </c>
      <c r="I59" s="2"/>
    </row>
    <row r="60" spans="1:9" x14ac:dyDescent="0.2">
      <c r="A60" s="2"/>
      <c r="B60" s="9" t="s">
        <v>63</v>
      </c>
      <c r="C60" s="10">
        <v>510</v>
      </c>
      <c r="D60" s="11">
        <v>47</v>
      </c>
      <c r="E60" s="12">
        <v>22</v>
      </c>
      <c r="F60" s="11">
        <v>22</v>
      </c>
      <c r="G60" s="12">
        <v>22</v>
      </c>
      <c r="H60" s="11">
        <v>3</v>
      </c>
      <c r="I60" s="2"/>
    </row>
    <row r="61" spans="1:9" x14ac:dyDescent="0.2">
      <c r="A61" s="2"/>
      <c r="B61" s="9" t="s">
        <v>64</v>
      </c>
      <c r="C61" s="10">
        <v>700</v>
      </c>
      <c r="D61" s="11">
        <v>685</v>
      </c>
      <c r="E61" s="12">
        <v>649</v>
      </c>
      <c r="F61" s="11">
        <v>567</v>
      </c>
      <c r="G61" s="12">
        <v>553</v>
      </c>
      <c r="H61" s="11">
        <v>6</v>
      </c>
      <c r="I61" s="2"/>
    </row>
    <row r="62" spans="1:9" x14ac:dyDescent="0.2">
      <c r="A62" s="2"/>
      <c r="B62" s="9" t="s">
        <v>65</v>
      </c>
      <c r="C62" s="10">
        <v>25</v>
      </c>
      <c r="D62" s="11">
        <v>6</v>
      </c>
      <c r="E62" s="12" t="s">
        <v>11</v>
      </c>
      <c r="F62" s="11" t="s">
        <v>11</v>
      </c>
      <c r="G62" s="12" t="s">
        <v>11</v>
      </c>
      <c r="H62" s="11" t="s">
        <v>11</v>
      </c>
      <c r="I62" s="2"/>
    </row>
    <row r="63" spans="1:9" x14ac:dyDescent="0.2">
      <c r="A63" s="2"/>
      <c r="B63" s="9" t="s">
        <v>66</v>
      </c>
      <c r="C63" s="10">
        <v>293</v>
      </c>
      <c r="D63" s="11">
        <v>36</v>
      </c>
      <c r="E63" s="12">
        <v>22</v>
      </c>
      <c r="F63" s="11">
        <v>22</v>
      </c>
      <c r="G63" s="12">
        <v>22</v>
      </c>
      <c r="H63" s="11">
        <v>3</v>
      </c>
      <c r="I63" s="2"/>
    </row>
    <row r="64" spans="1:9" x14ac:dyDescent="0.2">
      <c r="A64" s="2"/>
      <c r="B64" s="9" t="s">
        <v>67</v>
      </c>
      <c r="C64" s="10">
        <v>25</v>
      </c>
      <c r="D64" s="11">
        <v>6</v>
      </c>
      <c r="E64" s="12" t="s">
        <v>11</v>
      </c>
      <c r="F64" s="11" t="s">
        <v>11</v>
      </c>
      <c r="G64" s="12" t="s">
        <v>11</v>
      </c>
      <c r="H64" s="11" t="s">
        <v>11</v>
      </c>
      <c r="I64" s="2"/>
    </row>
    <row r="65" spans="1:9" x14ac:dyDescent="0.2">
      <c r="A65" s="2"/>
      <c r="B65" s="9" t="s">
        <v>68</v>
      </c>
      <c r="C65" s="10">
        <v>36</v>
      </c>
      <c r="D65" s="11">
        <v>6</v>
      </c>
      <c r="E65" s="12">
        <v>4</v>
      </c>
      <c r="F65" s="11">
        <v>3</v>
      </c>
      <c r="G65" s="12" t="s">
        <v>11</v>
      </c>
      <c r="H65" s="11" t="s">
        <v>11</v>
      </c>
      <c r="I65" s="2"/>
    </row>
    <row r="66" spans="1:9" x14ac:dyDescent="0.2">
      <c r="A66" s="2"/>
      <c r="B66" s="9" t="s">
        <v>69</v>
      </c>
      <c r="C66" s="10">
        <v>19</v>
      </c>
      <c r="D66" s="11" t="s">
        <v>11</v>
      </c>
      <c r="E66" s="12" t="s">
        <v>11</v>
      </c>
      <c r="F66" s="11" t="s">
        <v>11</v>
      </c>
      <c r="G66" s="12" t="s">
        <v>11</v>
      </c>
      <c r="H66" s="11" t="s">
        <v>11</v>
      </c>
      <c r="I66" s="2"/>
    </row>
    <row r="67" spans="1:9" x14ac:dyDescent="0.2">
      <c r="A67" s="2"/>
      <c r="B67" s="9" t="s">
        <v>70</v>
      </c>
      <c r="C67" s="10">
        <v>25</v>
      </c>
      <c r="D67" s="11">
        <v>3</v>
      </c>
      <c r="E67" s="12">
        <v>3</v>
      </c>
      <c r="F67" s="11">
        <v>3</v>
      </c>
      <c r="G67" s="12">
        <v>3</v>
      </c>
      <c r="H67" s="11">
        <v>2</v>
      </c>
      <c r="I67" s="2"/>
    </row>
    <row r="68" spans="1:9" x14ac:dyDescent="0.2">
      <c r="A68" s="2"/>
      <c r="B68" s="9" t="s">
        <v>71</v>
      </c>
      <c r="C68" s="10">
        <v>207</v>
      </c>
      <c r="D68" s="11">
        <v>43</v>
      </c>
      <c r="E68" s="12">
        <v>22</v>
      </c>
      <c r="F68" s="11">
        <v>22</v>
      </c>
      <c r="G68" s="12">
        <v>8</v>
      </c>
      <c r="H68" s="11">
        <v>3</v>
      </c>
      <c r="I68" s="2"/>
    </row>
    <row r="69" spans="1:9" x14ac:dyDescent="0.2">
      <c r="A69" s="2"/>
      <c r="B69" s="9" t="s">
        <v>72</v>
      </c>
      <c r="C69" s="10">
        <v>28</v>
      </c>
      <c r="D69" s="11" t="s">
        <v>11</v>
      </c>
      <c r="E69" s="12" t="s">
        <v>11</v>
      </c>
      <c r="F69" s="11" t="s">
        <v>11</v>
      </c>
      <c r="G69" s="12" t="s">
        <v>11</v>
      </c>
      <c r="H69" s="11" t="s">
        <v>11</v>
      </c>
      <c r="I69" s="2"/>
    </row>
    <row r="70" spans="1:9" x14ac:dyDescent="0.2">
      <c r="A70" s="2"/>
      <c r="B70" s="9" t="s">
        <v>73</v>
      </c>
      <c r="C70" s="10">
        <v>91</v>
      </c>
      <c r="D70" s="11">
        <v>25</v>
      </c>
      <c r="E70" s="12">
        <v>24</v>
      </c>
      <c r="F70" s="11">
        <v>21</v>
      </c>
      <c r="G70" s="12">
        <v>21</v>
      </c>
      <c r="H70" s="11">
        <v>6</v>
      </c>
      <c r="I70" s="2"/>
    </row>
    <row r="71" spans="1:9" x14ac:dyDescent="0.2">
      <c r="A71" s="2"/>
      <c r="B71" s="9" t="s">
        <v>74</v>
      </c>
      <c r="C71" s="10">
        <v>182</v>
      </c>
      <c r="D71" s="11">
        <v>25</v>
      </c>
      <c r="E71" s="12">
        <v>10</v>
      </c>
      <c r="F71" s="11">
        <v>3</v>
      </c>
      <c r="G71" s="12">
        <v>3</v>
      </c>
      <c r="H71" s="11" t="s">
        <v>11</v>
      </c>
      <c r="I71" s="2"/>
    </row>
    <row r="72" spans="1:9" x14ac:dyDescent="0.2">
      <c r="A72" s="2"/>
      <c r="B72" s="9" t="s">
        <v>75</v>
      </c>
      <c r="C72" s="10">
        <v>25</v>
      </c>
      <c r="D72" s="11">
        <v>3</v>
      </c>
      <c r="E72" s="12" t="s">
        <v>11</v>
      </c>
      <c r="F72" s="11" t="s">
        <v>11</v>
      </c>
      <c r="G72" s="12" t="s">
        <v>11</v>
      </c>
      <c r="H72" s="11" t="s">
        <v>11</v>
      </c>
      <c r="I72" s="2"/>
    </row>
    <row r="73" spans="1:9" x14ac:dyDescent="0.2">
      <c r="A73" s="2"/>
      <c r="B73" s="9" t="s">
        <v>76</v>
      </c>
      <c r="C73" s="10">
        <v>1</v>
      </c>
      <c r="D73" s="11" t="s">
        <v>11</v>
      </c>
      <c r="E73" s="12" t="s">
        <v>11</v>
      </c>
      <c r="F73" s="11" t="s">
        <v>11</v>
      </c>
      <c r="G73" s="12" t="s">
        <v>11</v>
      </c>
      <c r="H73" s="11" t="s">
        <v>11</v>
      </c>
      <c r="I73" s="2"/>
    </row>
    <row r="74" spans="1:9" x14ac:dyDescent="0.2">
      <c r="A74" s="2"/>
      <c r="B74" s="9" t="s">
        <v>77</v>
      </c>
      <c r="C74" s="10">
        <v>720</v>
      </c>
      <c r="D74" s="11">
        <v>25</v>
      </c>
      <c r="E74" s="12">
        <v>12</v>
      </c>
      <c r="F74" s="11">
        <v>6</v>
      </c>
      <c r="G74" s="12">
        <v>6</v>
      </c>
      <c r="H74" s="11">
        <v>3</v>
      </c>
      <c r="I74" s="2"/>
    </row>
    <row r="75" spans="1:9" x14ac:dyDescent="0.2">
      <c r="A75" s="2"/>
      <c r="B75" s="9" t="s">
        <v>78</v>
      </c>
      <c r="C75" s="10">
        <v>468</v>
      </c>
      <c r="D75" s="11">
        <v>22</v>
      </c>
      <c r="E75" s="12">
        <v>22</v>
      </c>
      <c r="F75" s="11">
        <v>22</v>
      </c>
      <c r="G75" s="12">
        <v>20</v>
      </c>
      <c r="H75" s="11">
        <v>6</v>
      </c>
      <c r="I75" s="2"/>
    </row>
    <row r="76" spans="1:9" x14ac:dyDescent="0.2">
      <c r="A76" s="2"/>
      <c r="B76" s="9" t="s">
        <v>79</v>
      </c>
      <c r="C76" s="10">
        <v>104</v>
      </c>
      <c r="D76" s="11">
        <v>50</v>
      </c>
      <c r="E76" s="12">
        <v>22</v>
      </c>
      <c r="F76" s="11">
        <v>22</v>
      </c>
      <c r="G76" s="12">
        <v>22</v>
      </c>
      <c r="H76" s="11">
        <v>3</v>
      </c>
      <c r="I76" s="2"/>
    </row>
    <row r="77" spans="1:9" x14ac:dyDescent="0.2">
      <c r="A77" s="2"/>
      <c r="B77" s="9" t="s">
        <v>80</v>
      </c>
      <c r="C77" s="10">
        <v>19</v>
      </c>
      <c r="D77" s="11" t="s">
        <v>11</v>
      </c>
      <c r="E77" s="12" t="s">
        <v>11</v>
      </c>
      <c r="F77" s="11" t="s">
        <v>11</v>
      </c>
      <c r="G77" s="12" t="s">
        <v>11</v>
      </c>
      <c r="H77" s="11" t="s">
        <v>11</v>
      </c>
      <c r="I77" s="2"/>
    </row>
    <row r="78" spans="1:9" x14ac:dyDescent="0.2">
      <c r="A78" s="2"/>
      <c r="B78" s="9" t="s">
        <v>81</v>
      </c>
      <c r="C78" s="10">
        <v>511</v>
      </c>
      <c r="D78" s="11">
        <v>25</v>
      </c>
      <c r="E78" s="12">
        <v>16</v>
      </c>
      <c r="F78" s="11">
        <v>10</v>
      </c>
      <c r="G78" s="12">
        <v>6</v>
      </c>
      <c r="H78" s="11">
        <v>5</v>
      </c>
      <c r="I78" s="2"/>
    </row>
    <row r="79" spans="1:9" x14ac:dyDescent="0.2">
      <c r="A79" s="2"/>
      <c r="B79" s="9" t="s">
        <v>82</v>
      </c>
      <c r="C79" s="10">
        <v>25</v>
      </c>
      <c r="D79" s="11" t="s">
        <v>11</v>
      </c>
      <c r="E79" s="12" t="s">
        <v>11</v>
      </c>
      <c r="F79" s="11" t="s">
        <v>11</v>
      </c>
      <c r="G79" s="12" t="s">
        <v>11</v>
      </c>
      <c r="H79" s="11" t="s">
        <v>11</v>
      </c>
      <c r="I79" s="2"/>
    </row>
    <row r="80" spans="1:9" x14ac:dyDescent="0.2">
      <c r="A80" s="2"/>
      <c r="B80" s="9" t="s">
        <v>83</v>
      </c>
      <c r="C80" s="10">
        <v>62</v>
      </c>
      <c r="D80" s="11">
        <v>19</v>
      </c>
      <c r="E80" s="12">
        <v>19</v>
      </c>
      <c r="F80" s="11">
        <v>19</v>
      </c>
      <c r="G80" s="12">
        <v>7</v>
      </c>
      <c r="H80" s="11" t="s">
        <v>11</v>
      </c>
      <c r="I80" s="2"/>
    </row>
    <row r="81" spans="1:9" x14ac:dyDescent="0.2">
      <c r="A81" s="2"/>
      <c r="B81" s="9" t="s">
        <v>84</v>
      </c>
      <c r="C81" s="10" t="s">
        <v>11</v>
      </c>
      <c r="D81" s="11" t="s">
        <v>11</v>
      </c>
      <c r="E81" s="12" t="s">
        <v>11</v>
      </c>
      <c r="F81" s="11" t="s">
        <v>11</v>
      </c>
      <c r="G81" s="12" t="s">
        <v>11</v>
      </c>
      <c r="H81" s="11" t="s">
        <v>11</v>
      </c>
      <c r="I81" s="2"/>
    </row>
    <row r="82" spans="1:9" x14ac:dyDescent="0.2">
      <c r="A82" s="2"/>
      <c r="B82" s="9" t="s">
        <v>85</v>
      </c>
      <c r="C82" s="10">
        <v>22</v>
      </c>
      <c r="D82" s="11" t="s">
        <v>11</v>
      </c>
      <c r="E82" s="12" t="s">
        <v>11</v>
      </c>
      <c r="F82" s="11" t="s">
        <v>11</v>
      </c>
      <c r="G82" s="12" t="s">
        <v>11</v>
      </c>
      <c r="H82" s="11" t="s">
        <v>11</v>
      </c>
      <c r="I82" s="2"/>
    </row>
    <row r="83" spans="1:9" x14ac:dyDescent="0.2">
      <c r="A83" s="2"/>
      <c r="B83" s="9" t="s">
        <v>86</v>
      </c>
      <c r="C83" s="10">
        <v>2</v>
      </c>
      <c r="D83" s="11" t="s">
        <v>11</v>
      </c>
      <c r="E83" s="12" t="s">
        <v>11</v>
      </c>
      <c r="F83" s="11" t="s">
        <v>11</v>
      </c>
      <c r="G83" s="12" t="s">
        <v>11</v>
      </c>
      <c r="H83" s="11" t="s">
        <v>11</v>
      </c>
      <c r="I83" s="2"/>
    </row>
    <row r="84" spans="1:9" x14ac:dyDescent="0.2">
      <c r="A84" s="2"/>
      <c r="B84" s="9" t="s">
        <v>87</v>
      </c>
      <c r="C84" s="10">
        <v>25</v>
      </c>
      <c r="D84" s="11">
        <v>4</v>
      </c>
      <c r="E84" s="12">
        <v>3</v>
      </c>
      <c r="F84" s="11" t="s">
        <v>11</v>
      </c>
      <c r="G84" s="12" t="s">
        <v>11</v>
      </c>
      <c r="H84" s="11" t="s">
        <v>11</v>
      </c>
      <c r="I84" s="2"/>
    </row>
    <row r="85" spans="1:9" x14ac:dyDescent="0.2">
      <c r="A85" s="2"/>
      <c r="B85" s="9" t="s">
        <v>88</v>
      </c>
      <c r="C85" s="10">
        <v>73</v>
      </c>
      <c r="D85" s="11">
        <v>19</v>
      </c>
      <c r="E85" s="12">
        <v>19</v>
      </c>
      <c r="F85" s="11">
        <v>19</v>
      </c>
      <c r="G85" s="12">
        <v>19</v>
      </c>
      <c r="H85" s="11" t="s">
        <v>11</v>
      </c>
      <c r="I85" s="2"/>
    </row>
    <row r="86" spans="1:9" x14ac:dyDescent="0.2">
      <c r="A86" s="2"/>
      <c r="B86" s="9" t="s">
        <v>89</v>
      </c>
      <c r="C86" s="10">
        <v>517</v>
      </c>
      <c r="D86" s="11">
        <v>62</v>
      </c>
      <c r="E86" s="12">
        <v>19</v>
      </c>
      <c r="F86" s="11">
        <v>19</v>
      </c>
      <c r="G86" s="12">
        <v>19</v>
      </c>
      <c r="H86" s="11" t="s">
        <v>11</v>
      </c>
      <c r="I86" s="2"/>
    </row>
    <row r="87" spans="1:9" x14ac:dyDescent="0.2">
      <c r="A87" s="2"/>
      <c r="B87" s="9" t="s">
        <v>90</v>
      </c>
      <c r="C87" s="10">
        <v>25</v>
      </c>
      <c r="D87" s="11" t="s">
        <v>11</v>
      </c>
      <c r="E87" s="12" t="s">
        <v>11</v>
      </c>
      <c r="F87" s="11" t="s">
        <v>11</v>
      </c>
      <c r="G87" s="12" t="s">
        <v>11</v>
      </c>
      <c r="H87" s="11" t="s">
        <v>11</v>
      </c>
      <c r="I87" s="2"/>
    </row>
    <row r="88" spans="1:9" ht="17" thickBot="1" x14ac:dyDescent="0.25">
      <c r="A88" s="2"/>
      <c r="B88" s="13" t="s">
        <v>91</v>
      </c>
      <c r="C88" s="14">
        <v>34</v>
      </c>
      <c r="D88" s="15">
        <v>23</v>
      </c>
      <c r="E88" s="16">
        <v>16</v>
      </c>
      <c r="F88" s="15">
        <v>10</v>
      </c>
      <c r="G88" s="16">
        <v>6</v>
      </c>
      <c r="H88" s="15">
        <v>3</v>
      </c>
      <c r="I88" s="2"/>
    </row>
    <row r="89" spans="1:9" ht="17" thickBot="1" x14ac:dyDescent="0.25">
      <c r="A89" s="2"/>
      <c r="B89" s="13" t="s">
        <v>94</v>
      </c>
      <c r="C89" s="14">
        <f>SUM(C4:C88)</f>
        <v>13206</v>
      </c>
      <c r="D89" s="15">
        <f t="shared" ref="D89:H89" si="0">SUM(D4:D88)</f>
        <v>2119</v>
      </c>
      <c r="E89" s="16">
        <f t="shared" si="0"/>
        <v>1374</v>
      </c>
      <c r="F89" s="15">
        <f t="shared" si="0"/>
        <v>1145</v>
      </c>
      <c r="G89" s="16">
        <f t="shared" si="0"/>
        <v>1049</v>
      </c>
      <c r="H89" s="15">
        <f t="shared" si="0"/>
        <v>108</v>
      </c>
      <c r="I89" s="2"/>
    </row>
    <row r="90" spans="1:9" x14ac:dyDescent="0.2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">
      <c r="C91" s="1"/>
      <c r="D91" s="1"/>
      <c r="E91" s="1"/>
      <c r="F91" s="1"/>
      <c r="G91" s="1"/>
    </row>
  </sheetData>
  <mergeCells count="1">
    <mergeCell ref="C2:H2"/>
  </mergeCells>
  <conditionalFormatting sqref="C4:H88">
    <cfRule type="colorScale" priority="1">
      <colorScale>
        <cfvo type="min"/>
        <cfvo type="max"/>
        <color theme="0"/>
        <color rgb="FFC00000"/>
      </colorScale>
    </cfRule>
  </conditionalFormatting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I91"/>
  <sheetViews>
    <sheetView tabSelected="1" workbookViewId="0">
      <selection activeCell="H89" sqref="B2:H89"/>
    </sheetView>
  </sheetViews>
  <sheetFormatPr baseColWidth="10" defaultRowHeight="16" x14ac:dyDescent="0.2"/>
  <cols>
    <col min="2" max="2" width="27.5" customWidth="1"/>
    <col min="3" max="8" width="20.5" customWidth="1"/>
  </cols>
  <sheetData>
    <row r="1" spans="1:9" ht="17" thickBot="1" x14ac:dyDescent="0.25">
      <c r="A1" s="2"/>
      <c r="B1" s="2"/>
      <c r="C1" s="3"/>
      <c r="D1" s="3"/>
      <c r="E1" s="3"/>
      <c r="F1" s="3"/>
      <c r="G1" s="3"/>
      <c r="H1" s="3"/>
      <c r="I1" s="2"/>
    </row>
    <row r="2" spans="1:9" ht="17" thickBot="1" x14ac:dyDescent="0.25">
      <c r="A2" s="2"/>
      <c r="B2" s="4"/>
      <c r="C2" s="23" t="s">
        <v>92</v>
      </c>
      <c r="D2" s="24"/>
      <c r="E2" s="24"/>
      <c r="F2" s="24"/>
      <c r="G2" s="24"/>
      <c r="H2" s="25"/>
      <c r="I2" s="2"/>
    </row>
    <row r="3" spans="1:9" ht="17" thickBot="1" x14ac:dyDescent="0.25">
      <c r="A3" s="2"/>
      <c r="B3" s="5"/>
      <c r="C3" s="6" t="s">
        <v>0</v>
      </c>
      <c r="D3" s="7" t="s">
        <v>1</v>
      </c>
      <c r="E3" s="8" t="s">
        <v>2</v>
      </c>
      <c r="F3" s="7" t="s">
        <v>3</v>
      </c>
      <c r="G3" s="8" t="s">
        <v>4</v>
      </c>
      <c r="H3" s="7" t="s">
        <v>5</v>
      </c>
      <c r="I3" s="2"/>
    </row>
    <row r="4" spans="1:9" x14ac:dyDescent="0.2">
      <c r="A4" s="2"/>
      <c r="B4" s="9" t="s">
        <v>6</v>
      </c>
      <c r="C4" s="17">
        <v>5.911330049</v>
      </c>
      <c r="D4" s="18">
        <v>4.0640394090000003</v>
      </c>
      <c r="E4" s="19">
        <v>2.709359606</v>
      </c>
      <c r="F4" s="18">
        <v>2.709359606</v>
      </c>
      <c r="G4" s="19">
        <v>2.3399014779999998</v>
      </c>
      <c r="H4" s="18">
        <v>0.369458128</v>
      </c>
      <c r="I4" s="2"/>
    </row>
    <row r="5" spans="1:9" x14ac:dyDescent="0.2">
      <c r="A5" s="2"/>
      <c r="B5" s="9" t="s">
        <v>7</v>
      </c>
      <c r="C5" s="17">
        <v>39.263803680000002</v>
      </c>
      <c r="D5" s="18">
        <v>3.0674846630000001</v>
      </c>
      <c r="E5" s="19">
        <v>2.6993865029999999</v>
      </c>
      <c r="F5" s="18">
        <v>2.5766871170000001</v>
      </c>
      <c r="G5" s="19">
        <v>2.3312883439999998</v>
      </c>
      <c r="H5" s="18">
        <v>0.73619631900000004</v>
      </c>
      <c r="I5" s="2"/>
    </row>
    <row r="6" spans="1:9" x14ac:dyDescent="0.2">
      <c r="A6" s="2"/>
      <c r="B6" s="9" t="s">
        <v>8</v>
      </c>
      <c r="C6" s="17">
        <v>99.630541870000002</v>
      </c>
      <c r="D6" s="18">
        <v>5.1724137929999996</v>
      </c>
      <c r="E6" s="19">
        <v>2.709359606</v>
      </c>
      <c r="F6" s="18">
        <v>2.709359606</v>
      </c>
      <c r="G6" s="19">
        <v>2.709359606</v>
      </c>
      <c r="H6" s="18">
        <v>0.369458128</v>
      </c>
      <c r="I6" s="2"/>
    </row>
    <row r="7" spans="1:9" x14ac:dyDescent="0.2">
      <c r="A7" s="2"/>
      <c r="B7" s="9" t="s">
        <v>9</v>
      </c>
      <c r="C7" s="17">
        <v>45.889570550000002</v>
      </c>
      <c r="D7" s="18">
        <v>3.190184049</v>
      </c>
      <c r="E7" s="19">
        <v>3.0674846630000001</v>
      </c>
      <c r="F7" s="18">
        <v>3.0674846630000001</v>
      </c>
      <c r="G7" s="19">
        <v>3.0674846630000001</v>
      </c>
      <c r="H7" s="18">
        <v>0.73619631900000004</v>
      </c>
      <c r="I7" s="2"/>
    </row>
    <row r="8" spans="1:9" x14ac:dyDescent="0.2">
      <c r="A8" s="2"/>
      <c r="B8" s="9" t="s">
        <v>10</v>
      </c>
      <c r="C8" s="17">
        <v>77.997527809999994</v>
      </c>
      <c r="D8" s="18">
        <v>7.2929542649999997</v>
      </c>
      <c r="E8" s="19">
        <v>2.3485784920000001</v>
      </c>
      <c r="F8" s="18">
        <v>2.3485784920000001</v>
      </c>
      <c r="G8" s="19">
        <v>2.3485784920000001</v>
      </c>
      <c r="H8" s="18">
        <v>0</v>
      </c>
      <c r="I8" s="2"/>
    </row>
    <row r="9" spans="1:9" x14ac:dyDescent="0.2">
      <c r="A9" s="2"/>
      <c r="B9" s="9" t="s">
        <v>12</v>
      </c>
      <c r="C9" s="17">
        <v>71.940667489999996</v>
      </c>
      <c r="D9" s="18">
        <v>12.85537701</v>
      </c>
      <c r="E9" s="19">
        <v>2.3485784920000001</v>
      </c>
      <c r="F9" s="18">
        <v>2.3485784920000001</v>
      </c>
      <c r="G9" s="19">
        <v>2.3485784920000001</v>
      </c>
      <c r="H9" s="18">
        <v>0</v>
      </c>
      <c r="I9" s="2"/>
    </row>
    <row r="10" spans="1:9" x14ac:dyDescent="0.2">
      <c r="A10" s="2"/>
      <c r="B10" s="9" t="s">
        <v>13</v>
      </c>
      <c r="C10" s="17">
        <v>3.9263803679999998</v>
      </c>
      <c r="D10" s="18">
        <v>1.4723926380000001</v>
      </c>
      <c r="E10" s="19">
        <v>0.73619631900000004</v>
      </c>
      <c r="F10" s="18">
        <v>0.24539877299999999</v>
      </c>
      <c r="G10" s="19">
        <v>0.24539877299999999</v>
      </c>
      <c r="H10" s="18">
        <v>0</v>
      </c>
      <c r="I10" s="2"/>
    </row>
    <row r="11" spans="1:9" x14ac:dyDescent="0.2">
      <c r="A11" s="2"/>
      <c r="B11" s="9" t="s">
        <v>14</v>
      </c>
      <c r="C11" s="17">
        <v>3.0674846630000001</v>
      </c>
      <c r="D11" s="18">
        <v>0</v>
      </c>
      <c r="E11" s="19">
        <v>0</v>
      </c>
      <c r="F11" s="18">
        <v>0</v>
      </c>
      <c r="G11" s="19">
        <v>0</v>
      </c>
      <c r="H11" s="18">
        <v>0</v>
      </c>
      <c r="I11" s="2"/>
    </row>
    <row r="12" spans="1:9" x14ac:dyDescent="0.2">
      <c r="A12" s="2"/>
      <c r="B12" s="9" t="s">
        <v>15</v>
      </c>
      <c r="C12" s="17">
        <v>3.0674846630000001</v>
      </c>
      <c r="D12" s="18">
        <v>0</v>
      </c>
      <c r="E12" s="19">
        <v>0</v>
      </c>
      <c r="F12" s="18">
        <v>0</v>
      </c>
      <c r="G12" s="19">
        <v>0</v>
      </c>
      <c r="H12" s="18">
        <v>0</v>
      </c>
      <c r="I12" s="2"/>
    </row>
    <row r="13" spans="1:9" x14ac:dyDescent="0.2">
      <c r="A13" s="2"/>
      <c r="B13" s="9" t="s">
        <v>16</v>
      </c>
      <c r="C13" s="17">
        <v>3.0674846630000001</v>
      </c>
      <c r="D13" s="18">
        <v>0</v>
      </c>
      <c r="E13" s="19">
        <v>0</v>
      </c>
      <c r="F13" s="18">
        <v>0</v>
      </c>
      <c r="G13" s="19">
        <v>0</v>
      </c>
      <c r="H13" s="18">
        <v>0</v>
      </c>
      <c r="I13" s="2"/>
    </row>
    <row r="14" spans="1:9" x14ac:dyDescent="0.2">
      <c r="A14" s="2"/>
      <c r="B14" s="9" t="s">
        <v>17</v>
      </c>
      <c r="C14" s="17">
        <v>5.27607362</v>
      </c>
      <c r="D14" s="18">
        <v>2.3312883439999998</v>
      </c>
      <c r="E14" s="19">
        <v>0.85889570599999998</v>
      </c>
      <c r="F14" s="18">
        <v>0.73619631900000004</v>
      </c>
      <c r="G14" s="19">
        <v>0.73619631900000004</v>
      </c>
      <c r="H14" s="18">
        <v>0.12269938699999999</v>
      </c>
      <c r="I14" s="2"/>
    </row>
    <row r="15" spans="1:9" x14ac:dyDescent="0.2">
      <c r="A15" s="2"/>
      <c r="B15" s="9" t="s">
        <v>18</v>
      </c>
      <c r="C15" s="17">
        <v>3.0674846630000001</v>
      </c>
      <c r="D15" s="18">
        <v>0.36809816000000001</v>
      </c>
      <c r="E15" s="19">
        <v>0.36809816000000001</v>
      </c>
      <c r="F15" s="18">
        <v>0</v>
      </c>
      <c r="G15" s="19">
        <v>0</v>
      </c>
      <c r="H15" s="18">
        <v>0</v>
      </c>
      <c r="I15" s="2"/>
    </row>
    <row r="16" spans="1:9" x14ac:dyDescent="0.2">
      <c r="A16" s="2"/>
      <c r="B16" s="9" t="s">
        <v>19</v>
      </c>
      <c r="C16" s="17">
        <v>3.0674846630000001</v>
      </c>
      <c r="D16" s="18">
        <v>0.36809816000000001</v>
      </c>
      <c r="E16" s="19">
        <v>0.36809816000000001</v>
      </c>
      <c r="F16" s="18">
        <v>0</v>
      </c>
      <c r="G16" s="19">
        <v>0</v>
      </c>
      <c r="H16" s="18">
        <v>0</v>
      </c>
      <c r="I16" s="2"/>
    </row>
    <row r="17" spans="1:9" x14ac:dyDescent="0.2">
      <c r="A17" s="2"/>
      <c r="B17" s="9" t="s">
        <v>20</v>
      </c>
      <c r="C17" s="17">
        <v>3.3128834359999999</v>
      </c>
      <c r="D17" s="18">
        <v>0.73619631900000004</v>
      </c>
      <c r="E17" s="19">
        <v>0.36809816000000001</v>
      </c>
      <c r="F17" s="18">
        <v>0</v>
      </c>
      <c r="G17" s="19">
        <v>0</v>
      </c>
      <c r="H17" s="18">
        <v>0</v>
      </c>
      <c r="I17" s="2"/>
    </row>
    <row r="18" spans="1:9" x14ac:dyDescent="0.2">
      <c r="A18" s="2"/>
      <c r="B18" s="9" t="s">
        <v>21</v>
      </c>
      <c r="C18" s="17">
        <v>3.0674846630000001</v>
      </c>
      <c r="D18" s="18">
        <v>0.36809816000000001</v>
      </c>
      <c r="E18" s="19">
        <v>0</v>
      </c>
      <c r="F18" s="18">
        <v>0</v>
      </c>
      <c r="G18" s="19">
        <v>0</v>
      </c>
      <c r="H18" s="18">
        <v>0</v>
      </c>
      <c r="I18" s="2"/>
    </row>
    <row r="19" spans="1:9" x14ac:dyDescent="0.2">
      <c r="A19" s="2"/>
      <c r="B19" s="9" t="s">
        <v>22</v>
      </c>
      <c r="C19" s="17">
        <v>3.0674846630000001</v>
      </c>
      <c r="D19" s="18">
        <v>0.12269938699999999</v>
      </c>
      <c r="E19" s="19">
        <v>0</v>
      </c>
      <c r="F19" s="18">
        <v>0</v>
      </c>
      <c r="G19" s="19">
        <v>0</v>
      </c>
      <c r="H19" s="18">
        <v>0</v>
      </c>
      <c r="I19" s="2"/>
    </row>
    <row r="20" spans="1:9" x14ac:dyDescent="0.2">
      <c r="A20" s="2"/>
      <c r="B20" s="9" t="s">
        <v>23</v>
      </c>
      <c r="C20" s="17">
        <v>85.043263289999999</v>
      </c>
      <c r="D20" s="18">
        <v>7.663782447</v>
      </c>
      <c r="E20" s="19">
        <v>2.3485784920000001</v>
      </c>
      <c r="F20" s="18">
        <v>2.3485784920000001</v>
      </c>
      <c r="G20" s="19">
        <v>2.3485784920000001</v>
      </c>
      <c r="H20" s="18">
        <v>0</v>
      </c>
      <c r="I20" s="2"/>
    </row>
    <row r="21" spans="1:9" x14ac:dyDescent="0.2">
      <c r="A21" s="2"/>
      <c r="B21" s="9" t="s">
        <v>24</v>
      </c>
      <c r="C21" s="17">
        <v>32.638036810000003</v>
      </c>
      <c r="D21" s="18">
        <v>0.73619631900000004</v>
      </c>
      <c r="E21" s="19">
        <v>0.61349693299999997</v>
      </c>
      <c r="F21" s="18">
        <v>0.36809816000000001</v>
      </c>
      <c r="G21" s="19">
        <v>0</v>
      </c>
      <c r="H21" s="18">
        <v>0</v>
      </c>
      <c r="I21" s="2"/>
    </row>
    <row r="22" spans="1:9" x14ac:dyDescent="0.2">
      <c r="A22" s="2"/>
      <c r="B22" s="9" t="s">
        <v>25</v>
      </c>
      <c r="C22" s="17">
        <v>2.4539877300000001</v>
      </c>
      <c r="D22" s="18">
        <v>0</v>
      </c>
      <c r="E22" s="19">
        <v>0</v>
      </c>
      <c r="F22" s="18">
        <v>0</v>
      </c>
      <c r="G22" s="19">
        <v>0</v>
      </c>
      <c r="H22" s="18">
        <v>0</v>
      </c>
      <c r="I22" s="2"/>
    </row>
    <row r="23" spans="1:9" x14ac:dyDescent="0.2">
      <c r="A23" s="2"/>
      <c r="B23" s="9" t="s">
        <v>26</v>
      </c>
      <c r="C23" s="17">
        <v>2.8220858899999999</v>
      </c>
      <c r="D23" s="18">
        <v>0</v>
      </c>
      <c r="E23" s="19">
        <v>0</v>
      </c>
      <c r="F23" s="18">
        <v>0</v>
      </c>
      <c r="G23" s="19">
        <v>0</v>
      </c>
      <c r="H23" s="18">
        <v>0</v>
      </c>
      <c r="I23" s="2"/>
    </row>
    <row r="24" spans="1:9" x14ac:dyDescent="0.2">
      <c r="A24" s="2"/>
      <c r="B24" s="9" t="s">
        <v>27</v>
      </c>
      <c r="C24" s="17">
        <v>3.190184049</v>
      </c>
      <c r="D24" s="18">
        <v>0</v>
      </c>
      <c r="E24" s="19">
        <v>0</v>
      </c>
      <c r="F24" s="18">
        <v>0</v>
      </c>
      <c r="G24" s="19">
        <v>0</v>
      </c>
      <c r="H24" s="18">
        <v>0</v>
      </c>
      <c r="I24" s="2"/>
    </row>
    <row r="25" spans="1:9" x14ac:dyDescent="0.2">
      <c r="A25" s="2"/>
      <c r="B25" s="9" t="s">
        <v>28</v>
      </c>
      <c r="C25" s="17">
        <v>3.5582822090000001</v>
      </c>
      <c r="D25" s="18">
        <v>3.0674846630000001</v>
      </c>
      <c r="E25" s="19">
        <v>2.6993865029999999</v>
      </c>
      <c r="F25" s="18">
        <v>0.36809816000000001</v>
      </c>
      <c r="G25" s="19">
        <v>0.36809816000000001</v>
      </c>
      <c r="H25" s="18">
        <v>0</v>
      </c>
      <c r="I25" s="2"/>
    </row>
    <row r="26" spans="1:9" x14ac:dyDescent="0.2">
      <c r="A26" s="2"/>
      <c r="B26" s="9" t="s">
        <v>29</v>
      </c>
      <c r="C26" s="17">
        <v>3.0674846630000001</v>
      </c>
      <c r="D26" s="18">
        <v>0.12269938699999999</v>
      </c>
      <c r="E26" s="19">
        <v>0</v>
      </c>
      <c r="F26" s="18">
        <v>0</v>
      </c>
      <c r="G26" s="19">
        <v>0</v>
      </c>
      <c r="H26" s="18">
        <v>0</v>
      </c>
      <c r="I26" s="2"/>
    </row>
    <row r="27" spans="1:9" x14ac:dyDescent="0.2">
      <c r="A27" s="2"/>
      <c r="B27" s="9" t="s">
        <v>30</v>
      </c>
      <c r="C27" s="17">
        <v>2.3312883439999998</v>
      </c>
      <c r="D27" s="18">
        <v>0</v>
      </c>
      <c r="E27" s="19">
        <v>0</v>
      </c>
      <c r="F27" s="18">
        <v>0</v>
      </c>
      <c r="G27" s="19">
        <v>0</v>
      </c>
      <c r="H27" s="18">
        <v>0</v>
      </c>
      <c r="I27" s="2"/>
    </row>
    <row r="28" spans="1:9" x14ac:dyDescent="0.2">
      <c r="A28" s="2"/>
      <c r="B28" s="9" t="s">
        <v>31</v>
      </c>
      <c r="C28" s="17">
        <v>3.0674846630000001</v>
      </c>
      <c r="D28" s="18">
        <v>0</v>
      </c>
      <c r="E28" s="19">
        <v>0</v>
      </c>
      <c r="F28" s="18">
        <v>0</v>
      </c>
      <c r="G28" s="19">
        <v>0</v>
      </c>
      <c r="H28" s="18">
        <v>0</v>
      </c>
      <c r="I28" s="2"/>
    </row>
    <row r="29" spans="1:9" x14ac:dyDescent="0.2">
      <c r="A29" s="2"/>
      <c r="B29" s="9" t="s">
        <v>32</v>
      </c>
      <c r="C29" s="17">
        <v>0</v>
      </c>
      <c r="D29" s="18">
        <v>0</v>
      </c>
      <c r="E29" s="19">
        <v>0</v>
      </c>
      <c r="F29" s="18">
        <v>0</v>
      </c>
      <c r="G29" s="19">
        <v>0</v>
      </c>
      <c r="H29" s="18">
        <v>0</v>
      </c>
      <c r="I29" s="2"/>
    </row>
    <row r="30" spans="1:9" x14ac:dyDescent="0.2">
      <c r="A30" s="2"/>
      <c r="B30" s="9" t="s">
        <v>33</v>
      </c>
      <c r="C30" s="17">
        <v>0</v>
      </c>
      <c r="D30" s="18">
        <v>0</v>
      </c>
      <c r="E30" s="19">
        <v>0</v>
      </c>
      <c r="F30" s="18">
        <v>0</v>
      </c>
      <c r="G30" s="19">
        <v>0</v>
      </c>
      <c r="H30" s="18">
        <v>0</v>
      </c>
      <c r="I30" s="2"/>
    </row>
    <row r="31" spans="1:9" x14ac:dyDescent="0.2">
      <c r="A31" s="2"/>
      <c r="B31" s="9" t="s">
        <v>34</v>
      </c>
      <c r="C31" s="17">
        <v>1.4723926380000001</v>
      </c>
      <c r="D31" s="18">
        <v>0</v>
      </c>
      <c r="E31" s="19">
        <v>0</v>
      </c>
      <c r="F31" s="18">
        <v>0</v>
      </c>
      <c r="G31" s="19">
        <v>0</v>
      </c>
      <c r="H31" s="18">
        <v>0</v>
      </c>
      <c r="I31" s="2"/>
    </row>
    <row r="32" spans="1:9" x14ac:dyDescent="0.2">
      <c r="A32" s="2"/>
      <c r="B32" s="9" t="s">
        <v>35</v>
      </c>
      <c r="C32" s="17">
        <v>98.763906059999997</v>
      </c>
      <c r="D32" s="18">
        <v>22.24969098</v>
      </c>
      <c r="E32" s="19">
        <v>2.3485784920000001</v>
      </c>
      <c r="F32" s="18">
        <v>2.3485784920000001</v>
      </c>
      <c r="G32" s="19">
        <v>2.3485784920000001</v>
      </c>
      <c r="H32" s="18">
        <v>2.2249690979999999</v>
      </c>
      <c r="I32" s="2"/>
    </row>
    <row r="33" spans="1:9" x14ac:dyDescent="0.2">
      <c r="A33" s="2"/>
      <c r="B33" s="9" t="s">
        <v>36</v>
      </c>
      <c r="C33" s="17">
        <v>4.8029556649999998</v>
      </c>
      <c r="D33" s="18">
        <v>2.9556650250000001</v>
      </c>
      <c r="E33" s="19">
        <v>2.709359606</v>
      </c>
      <c r="F33" s="18">
        <v>2.709359606</v>
      </c>
      <c r="G33" s="19">
        <v>2.709359606</v>
      </c>
      <c r="H33" s="18">
        <v>0.369458128</v>
      </c>
      <c r="I33" s="2"/>
    </row>
    <row r="34" spans="1:9" x14ac:dyDescent="0.2">
      <c r="A34" s="2"/>
      <c r="B34" s="9" t="s">
        <v>37</v>
      </c>
      <c r="C34" s="17">
        <v>6.2807881769999998</v>
      </c>
      <c r="D34" s="18">
        <v>5.7881773399999998</v>
      </c>
      <c r="E34" s="19">
        <v>2.709359606</v>
      </c>
      <c r="F34" s="18">
        <v>2.709359606</v>
      </c>
      <c r="G34" s="19">
        <v>2.709359606</v>
      </c>
      <c r="H34" s="18">
        <v>0.369458128</v>
      </c>
      <c r="I34" s="2"/>
    </row>
    <row r="35" spans="1:9" x14ac:dyDescent="0.2">
      <c r="A35" s="2"/>
      <c r="B35" s="9" t="s">
        <v>38</v>
      </c>
      <c r="C35" s="17">
        <v>0.24539877299999999</v>
      </c>
      <c r="D35" s="18">
        <v>0</v>
      </c>
      <c r="E35" s="19">
        <v>0</v>
      </c>
      <c r="F35" s="18">
        <v>0</v>
      </c>
      <c r="G35" s="19">
        <v>0</v>
      </c>
      <c r="H35" s="18">
        <v>0</v>
      </c>
      <c r="I35" s="2"/>
    </row>
    <row r="36" spans="1:9" x14ac:dyDescent="0.2">
      <c r="A36" s="2"/>
      <c r="B36" s="9" t="s">
        <v>39</v>
      </c>
      <c r="C36" s="17">
        <v>5.0306748470000002</v>
      </c>
      <c r="D36" s="18">
        <v>0.73619631900000004</v>
      </c>
      <c r="E36" s="19">
        <v>0.36809816000000001</v>
      </c>
      <c r="F36" s="18">
        <v>0</v>
      </c>
      <c r="G36" s="19">
        <v>0</v>
      </c>
      <c r="H36" s="18">
        <v>0</v>
      </c>
      <c r="I36" s="2"/>
    </row>
    <row r="37" spans="1:9" x14ac:dyDescent="0.2">
      <c r="A37" s="2"/>
      <c r="B37" s="9" t="s">
        <v>40</v>
      </c>
      <c r="C37" s="17">
        <v>2.5766871170000001</v>
      </c>
      <c r="D37" s="18">
        <v>0</v>
      </c>
      <c r="E37" s="19">
        <v>0</v>
      </c>
      <c r="F37" s="18">
        <v>0</v>
      </c>
      <c r="G37" s="19">
        <v>0</v>
      </c>
      <c r="H37" s="18">
        <v>0</v>
      </c>
      <c r="I37" s="2"/>
    </row>
    <row r="38" spans="1:9" x14ac:dyDescent="0.2">
      <c r="A38" s="2"/>
      <c r="B38" s="9" t="s">
        <v>41</v>
      </c>
      <c r="C38" s="17">
        <v>3.4355828220000002</v>
      </c>
      <c r="D38" s="18">
        <v>0.36809816000000001</v>
      </c>
      <c r="E38" s="19">
        <v>0</v>
      </c>
      <c r="F38" s="18">
        <v>0</v>
      </c>
      <c r="G38" s="19">
        <v>0</v>
      </c>
      <c r="H38" s="18">
        <v>0</v>
      </c>
      <c r="I38" s="2"/>
    </row>
    <row r="39" spans="1:9" x14ac:dyDescent="0.2">
      <c r="A39" s="2"/>
      <c r="B39" s="9" t="s">
        <v>42</v>
      </c>
      <c r="C39" s="17">
        <v>3.0674846630000001</v>
      </c>
      <c r="D39" s="18">
        <v>0</v>
      </c>
      <c r="E39" s="19">
        <v>0</v>
      </c>
      <c r="F39" s="18">
        <v>0</v>
      </c>
      <c r="G39" s="19">
        <v>0</v>
      </c>
      <c r="H39" s="18">
        <v>0</v>
      </c>
      <c r="I39" s="2"/>
    </row>
    <row r="40" spans="1:9" x14ac:dyDescent="0.2">
      <c r="A40" s="2"/>
      <c r="B40" s="9" t="s">
        <v>43</v>
      </c>
      <c r="C40" s="17">
        <v>3.0674846630000001</v>
      </c>
      <c r="D40" s="18">
        <v>0.36809816000000001</v>
      </c>
      <c r="E40" s="19">
        <v>0</v>
      </c>
      <c r="F40" s="18">
        <v>0</v>
      </c>
      <c r="G40" s="19">
        <v>0</v>
      </c>
      <c r="H40" s="18">
        <v>0</v>
      </c>
      <c r="I40" s="2"/>
    </row>
    <row r="41" spans="1:9" x14ac:dyDescent="0.2">
      <c r="A41" s="2"/>
      <c r="B41" s="9" t="s">
        <v>44</v>
      </c>
      <c r="C41" s="17">
        <v>94.846625770000003</v>
      </c>
      <c r="D41" s="18">
        <v>3.0674846630000001</v>
      </c>
      <c r="E41" s="19">
        <v>3.0674846630000001</v>
      </c>
      <c r="F41" s="18">
        <v>0.73619631900000004</v>
      </c>
      <c r="G41" s="19">
        <v>0.49079754599999997</v>
      </c>
      <c r="H41" s="18">
        <v>0</v>
      </c>
      <c r="I41" s="2"/>
    </row>
    <row r="42" spans="1:9" x14ac:dyDescent="0.2">
      <c r="A42" s="2"/>
      <c r="B42" s="9" t="s">
        <v>45</v>
      </c>
      <c r="C42" s="17">
        <v>3.9263803679999998</v>
      </c>
      <c r="D42" s="18">
        <v>2.6993865029999999</v>
      </c>
      <c r="E42" s="19">
        <v>2.2085889569999999</v>
      </c>
      <c r="F42" s="18">
        <v>0.73619631900000004</v>
      </c>
      <c r="G42" s="19">
        <v>0.36809816000000001</v>
      </c>
      <c r="H42" s="18">
        <v>0.12269938699999999</v>
      </c>
      <c r="I42" s="2"/>
    </row>
    <row r="43" spans="1:9" x14ac:dyDescent="0.2">
      <c r="A43" s="2"/>
      <c r="B43" s="9" t="s">
        <v>46</v>
      </c>
      <c r="C43" s="17">
        <v>0.12269938699999999</v>
      </c>
      <c r="D43" s="18">
        <v>0</v>
      </c>
      <c r="E43" s="19">
        <v>0</v>
      </c>
      <c r="F43" s="18">
        <v>0</v>
      </c>
      <c r="G43" s="19">
        <v>0</v>
      </c>
      <c r="H43" s="18">
        <v>0</v>
      </c>
      <c r="I43" s="2"/>
    </row>
    <row r="44" spans="1:9" x14ac:dyDescent="0.2">
      <c r="A44" s="2"/>
      <c r="B44" s="9" t="s">
        <v>47</v>
      </c>
      <c r="C44" s="17">
        <v>71.428571430000005</v>
      </c>
      <c r="D44" s="18">
        <v>5.6650246309999996</v>
      </c>
      <c r="E44" s="19">
        <v>2.709359606</v>
      </c>
      <c r="F44" s="18">
        <v>2.709359606</v>
      </c>
      <c r="G44" s="19">
        <v>2.709359606</v>
      </c>
      <c r="H44" s="18">
        <v>0.369458128</v>
      </c>
      <c r="I44" s="2"/>
    </row>
    <row r="45" spans="1:9" x14ac:dyDescent="0.2">
      <c r="A45" s="2"/>
      <c r="B45" s="9" t="s">
        <v>48</v>
      </c>
      <c r="C45" s="17">
        <v>3.0674846630000001</v>
      </c>
      <c r="D45" s="18">
        <v>0.73619631900000004</v>
      </c>
      <c r="E45" s="19">
        <v>0.36809816000000001</v>
      </c>
      <c r="F45" s="18">
        <v>0.24539877299999999</v>
      </c>
      <c r="G45" s="19">
        <v>0</v>
      </c>
      <c r="H45" s="18">
        <v>0</v>
      </c>
      <c r="I45" s="2"/>
    </row>
    <row r="46" spans="1:9" x14ac:dyDescent="0.2">
      <c r="A46" s="2"/>
      <c r="B46" s="9" t="s">
        <v>49</v>
      </c>
      <c r="C46" s="17">
        <v>2.9447852760000002</v>
      </c>
      <c r="D46" s="18">
        <v>0</v>
      </c>
      <c r="E46" s="19">
        <v>0</v>
      </c>
      <c r="F46" s="18">
        <v>0</v>
      </c>
      <c r="G46" s="19">
        <v>0</v>
      </c>
      <c r="H46" s="18">
        <v>0</v>
      </c>
      <c r="I46" s="2"/>
    </row>
    <row r="47" spans="1:9" x14ac:dyDescent="0.2">
      <c r="A47" s="2"/>
      <c r="B47" s="9" t="s">
        <v>50</v>
      </c>
      <c r="C47" s="17">
        <v>12.7607362</v>
      </c>
      <c r="D47" s="18">
        <v>3.0674846630000001</v>
      </c>
      <c r="E47" s="19">
        <v>3.0674846630000001</v>
      </c>
      <c r="F47" s="18">
        <v>3.0674846630000001</v>
      </c>
      <c r="G47" s="19">
        <v>2.3312883439999998</v>
      </c>
      <c r="H47" s="18">
        <v>0.73619631900000004</v>
      </c>
      <c r="I47" s="2"/>
    </row>
    <row r="48" spans="1:9" x14ac:dyDescent="0.2">
      <c r="A48" s="2"/>
      <c r="B48" s="9" t="s">
        <v>51</v>
      </c>
      <c r="C48" s="17">
        <v>4.5566502460000002</v>
      </c>
      <c r="D48" s="18">
        <v>2.8325123149999998</v>
      </c>
      <c r="E48" s="19">
        <v>2.709359606</v>
      </c>
      <c r="F48" s="18">
        <v>2.709359606</v>
      </c>
      <c r="G48" s="19">
        <v>2.709359606</v>
      </c>
      <c r="H48" s="18">
        <v>0.369458128</v>
      </c>
      <c r="I48" s="2"/>
    </row>
    <row r="49" spans="1:9" x14ac:dyDescent="0.2">
      <c r="A49" s="2"/>
      <c r="B49" s="9" t="s">
        <v>52</v>
      </c>
      <c r="C49" s="17">
        <v>3.190184049</v>
      </c>
      <c r="D49" s="18">
        <v>2.9447852760000002</v>
      </c>
      <c r="E49" s="19">
        <v>2.6993865029999999</v>
      </c>
      <c r="F49" s="18">
        <v>2.4539877300000001</v>
      </c>
      <c r="G49" s="19">
        <v>0.73619631900000004</v>
      </c>
      <c r="H49" s="18">
        <v>0.24539877299999999</v>
      </c>
      <c r="I49" s="2"/>
    </row>
    <row r="50" spans="1:9" x14ac:dyDescent="0.2">
      <c r="A50" s="2"/>
      <c r="B50" s="9" t="s">
        <v>53</v>
      </c>
      <c r="C50" s="17">
        <v>2.5766871170000001</v>
      </c>
      <c r="D50" s="18">
        <v>0.36809816000000001</v>
      </c>
      <c r="E50" s="19">
        <v>0</v>
      </c>
      <c r="F50" s="18">
        <v>0</v>
      </c>
      <c r="G50" s="19">
        <v>0</v>
      </c>
      <c r="H50" s="18">
        <v>0</v>
      </c>
      <c r="I50" s="2"/>
    </row>
    <row r="51" spans="1:9" x14ac:dyDescent="0.2">
      <c r="A51" s="2"/>
      <c r="B51" s="9" t="s">
        <v>54</v>
      </c>
      <c r="C51" s="17">
        <v>3.0674846630000001</v>
      </c>
      <c r="D51" s="18">
        <v>0</v>
      </c>
      <c r="E51" s="19">
        <v>0</v>
      </c>
      <c r="F51" s="18">
        <v>0</v>
      </c>
      <c r="G51" s="19">
        <v>0</v>
      </c>
      <c r="H51" s="18">
        <v>0</v>
      </c>
      <c r="I51" s="2"/>
    </row>
    <row r="52" spans="1:9" x14ac:dyDescent="0.2">
      <c r="A52" s="2"/>
      <c r="B52" s="9" t="s">
        <v>55</v>
      </c>
      <c r="C52" s="17">
        <v>3.0674846630000001</v>
      </c>
      <c r="D52" s="18">
        <v>3.0674846630000001</v>
      </c>
      <c r="E52" s="19">
        <v>2.3312883439999998</v>
      </c>
      <c r="F52" s="18">
        <v>0.49079754599999997</v>
      </c>
      <c r="G52" s="19">
        <v>0.36809816000000001</v>
      </c>
      <c r="H52" s="18">
        <v>0.12269938699999999</v>
      </c>
      <c r="I52" s="2"/>
    </row>
    <row r="53" spans="1:9" x14ac:dyDescent="0.2">
      <c r="A53" s="2"/>
      <c r="B53" s="9" t="s">
        <v>56</v>
      </c>
      <c r="C53" s="17">
        <v>5.5214723929999998</v>
      </c>
      <c r="D53" s="18">
        <v>0.36809816000000001</v>
      </c>
      <c r="E53" s="19">
        <v>0</v>
      </c>
      <c r="F53" s="18">
        <v>0</v>
      </c>
      <c r="G53" s="19">
        <v>0</v>
      </c>
      <c r="H53" s="18">
        <v>0</v>
      </c>
      <c r="I53" s="2"/>
    </row>
    <row r="54" spans="1:9" x14ac:dyDescent="0.2">
      <c r="A54" s="2"/>
      <c r="B54" s="9" t="s">
        <v>57</v>
      </c>
      <c r="C54" s="17">
        <v>3.0674846630000001</v>
      </c>
      <c r="D54" s="18">
        <v>0</v>
      </c>
      <c r="E54" s="19">
        <v>0</v>
      </c>
      <c r="F54" s="18">
        <v>0</v>
      </c>
      <c r="G54" s="19">
        <v>0</v>
      </c>
      <c r="H54" s="18">
        <v>0</v>
      </c>
      <c r="I54" s="2"/>
    </row>
    <row r="55" spans="1:9" x14ac:dyDescent="0.2">
      <c r="A55" s="2"/>
      <c r="B55" s="9" t="s">
        <v>58</v>
      </c>
      <c r="C55" s="17">
        <v>3.0674846630000001</v>
      </c>
      <c r="D55" s="18">
        <v>0</v>
      </c>
      <c r="E55" s="19">
        <v>0</v>
      </c>
      <c r="F55" s="18">
        <v>0</v>
      </c>
      <c r="G55" s="19">
        <v>0</v>
      </c>
      <c r="H55" s="18">
        <v>0</v>
      </c>
      <c r="I55" s="2"/>
    </row>
    <row r="56" spans="1:9" x14ac:dyDescent="0.2">
      <c r="A56" s="2"/>
      <c r="B56" s="9" t="s">
        <v>59</v>
      </c>
      <c r="C56" s="17">
        <v>93.496932520000001</v>
      </c>
      <c r="D56" s="18">
        <v>3.0674846630000001</v>
      </c>
      <c r="E56" s="19">
        <v>1.104294479</v>
      </c>
      <c r="F56" s="18">
        <v>0.73619631900000004</v>
      </c>
      <c r="G56" s="19">
        <v>0.36809816000000001</v>
      </c>
      <c r="H56" s="18">
        <v>0</v>
      </c>
      <c r="I56" s="2"/>
    </row>
    <row r="57" spans="1:9" x14ac:dyDescent="0.2">
      <c r="A57" s="2"/>
      <c r="B57" s="9" t="s">
        <v>60</v>
      </c>
      <c r="C57" s="17">
        <v>3.0674846630000001</v>
      </c>
      <c r="D57" s="18">
        <v>1.7177914110000001</v>
      </c>
      <c r="E57" s="19">
        <v>1.7177914110000001</v>
      </c>
      <c r="F57" s="18">
        <v>0.36809816000000001</v>
      </c>
      <c r="G57" s="19">
        <v>0.36809816000000001</v>
      </c>
      <c r="H57" s="18">
        <v>0.36809816000000001</v>
      </c>
      <c r="I57" s="2"/>
    </row>
    <row r="58" spans="1:9" x14ac:dyDescent="0.2">
      <c r="A58" s="2"/>
      <c r="B58" s="9" t="s">
        <v>61</v>
      </c>
      <c r="C58" s="17">
        <v>41.717791409999997</v>
      </c>
      <c r="D58" s="18">
        <v>0.85889570599999998</v>
      </c>
      <c r="E58" s="19">
        <v>0.73619631900000004</v>
      </c>
      <c r="F58" s="18">
        <v>0.73619631900000004</v>
      </c>
      <c r="G58" s="19">
        <v>0.61349693299999997</v>
      </c>
      <c r="H58" s="18">
        <v>0.36809816000000001</v>
      </c>
      <c r="I58" s="2"/>
    </row>
    <row r="59" spans="1:9" x14ac:dyDescent="0.2">
      <c r="A59" s="2"/>
      <c r="B59" s="9" t="s">
        <v>62</v>
      </c>
      <c r="C59" s="17">
        <v>40.736196319999998</v>
      </c>
      <c r="D59" s="18">
        <v>5.3987730059999999</v>
      </c>
      <c r="E59" s="19">
        <v>2.6993865029999999</v>
      </c>
      <c r="F59" s="18">
        <v>1.104294479</v>
      </c>
      <c r="G59" s="19">
        <v>0.73619631900000004</v>
      </c>
      <c r="H59" s="18">
        <v>0</v>
      </c>
      <c r="I59" s="2"/>
    </row>
    <row r="60" spans="1:9" x14ac:dyDescent="0.2">
      <c r="A60" s="2"/>
      <c r="B60" s="9" t="s">
        <v>63</v>
      </c>
      <c r="C60" s="17">
        <v>62.807881770000002</v>
      </c>
      <c r="D60" s="18">
        <v>5.7881773399999998</v>
      </c>
      <c r="E60" s="19">
        <v>2.709359606</v>
      </c>
      <c r="F60" s="18">
        <v>2.709359606</v>
      </c>
      <c r="G60" s="19">
        <v>2.709359606</v>
      </c>
      <c r="H60" s="18">
        <v>0.369458128</v>
      </c>
      <c r="I60" s="2"/>
    </row>
    <row r="61" spans="1:9" x14ac:dyDescent="0.2">
      <c r="A61" s="2"/>
      <c r="B61" s="9" t="s">
        <v>64</v>
      </c>
      <c r="C61" s="17">
        <v>100</v>
      </c>
      <c r="D61" s="18">
        <v>97.857142859999996</v>
      </c>
      <c r="E61" s="19">
        <v>92.714285709999999</v>
      </c>
      <c r="F61" s="18">
        <v>81</v>
      </c>
      <c r="G61" s="19">
        <v>79</v>
      </c>
      <c r="H61" s="18">
        <v>0.85714285700000004</v>
      </c>
      <c r="I61" s="2"/>
    </row>
    <row r="62" spans="1:9" x14ac:dyDescent="0.2">
      <c r="A62" s="2"/>
      <c r="B62" s="9" t="s">
        <v>65</v>
      </c>
      <c r="C62" s="17">
        <v>3.0674846630000001</v>
      </c>
      <c r="D62" s="18">
        <v>0.73619631900000004</v>
      </c>
      <c r="E62" s="19">
        <v>0</v>
      </c>
      <c r="F62" s="18">
        <v>0</v>
      </c>
      <c r="G62" s="19">
        <v>0</v>
      </c>
      <c r="H62" s="18">
        <v>0</v>
      </c>
      <c r="I62" s="2"/>
    </row>
    <row r="63" spans="1:9" x14ac:dyDescent="0.2">
      <c r="A63" s="2"/>
      <c r="B63" s="9" t="s">
        <v>66</v>
      </c>
      <c r="C63" s="17">
        <v>36.083743839999997</v>
      </c>
      <c r="D63" s="18">
        <v>4.433497537</v>
      </c>
      <c r="E63" s="19">
        <v>2.709359606</v>
      </c>
      <c r="F63" s="18">
        <v>2.709359606</v>
      </c>
      <c r="G63" s="19">
        <v>2.709359606</v>
      </c>
      <c r="H63" s="18">
        <v>0.369458128</v>
      </c>
      <c r="I63" s="2"/>
    </row>
    <row r="64" spans="1:9" x14ac:dyDescent="0.2">
      <c r="A64" s="2"/>
      <c r="B64" s="9" t="s">
        <v>67</v>
      </c>
      <c r="C64" s="17">
        <v>3.0674846630000001</v>
      </c>
      <c r="D64" s="18">
        <v>0.73619631900000004</v>
      </c>
      <c r="E64" s="19">
        <v>0</v>
      </c>
      <c r="F64" s="18">
        <v>0</v>
      </c>
      <c r="G64" s="19">
        <v>0</v>
      </c>
      <c r="H64" s="18">
        <v>0</v>
      </c>
      <c r="I64" s="2"/>
    </row>
    <row r="65" spans="1:9" x14ac:dyDescent="0.2">
      <c r="A65" s="2"/>
      <c r="B65" s="9" t="s">
        <v>68</v>
      </c>
      <c r="C65" s="17">
        <v>4.4171779139999998</v>
      </c>
      <c r="D65" s="18">
        <v>0.73619631900000004</v>
      </c>
      <c r="E65" s="19">
        <v>0.49079754599999997</v>
      </c>
      <c r="F65" s="18">
        <v>0.36809816000000001</v>
      </c>
      <c r="G65" s="19">
        <v>0</v>
      </c>
      <c r="H65" s="18">
        <v>0</v>
      </c>
      <c r="I65" s="2"/>
    </row>
    <row r="66" spans="1:9" x14ac:dyDescent="0.2">
      <c r="A66" s="2"/>
      <c r="B66" s="9" t="s">
        <v>69</v>
      </c>
      <c r="C66" s="17">
        <v>2.3312883439999998</v>
      </c>
      <c r="D66" s="18">
        <v>0</v>
      </c>
      <c r="E66" s="19">
        <v>0</v>
      </c>
      <c r="F66" s="18">
        <v>0</v>
      </c>
      <c r="G66" s="19">
        <v>0</v>
      </c>
      <c r="H66" s="18">
        <v>0</v>
      </c>
      <c r="I66" s="2"/>
    </row>
    <row r="67" spans="1:9" x14ac:dyDescent="0.2">
      <c r="A67" s="2"/>
      <c r="B67" s="9" t="s">
        <v>70</v>
      </c>
      <c r="C67" s="17">
        <v>3.0674846630000001</v>
      </c>
      <c r="D67" s="18">
        <v>0.36809816000000001</v>
      </c>
      <c r="E67" s="19">
        <v>0.36809816000000001</v>
      </c>
      <c r="F67" s="18">
        <v>0.36809816000000001</v>
      </c>
      <c r="G67" s="19">
        <v>0.36809816000000001</v>
      </c>
      <c r="H67" s="18">
        <v>0.24539877299999999</v>
      </c>
      <c r="I67" s="2"/>
    </row>
    <row r="68" spans="1:9" x14ac:dyDescent="0.2">
      <c r="A68" s="2"/>
      <c r="B68" s="9" t="s">
        <v>71</v>
      </c>
      <c r="C68" s="17">
        <v>25.492610840000001</v>
      </c>
      <c r="D68" s="18">
        <v>5.2955665019999998</v>
      </c>
      <c r="E68" s="19">
        <v>2.709359606</v>
      </c>
      <c r="F68" s="18">
        <v>2.709359606</v>
      </c>
      <c r="G68" s="19">
        <v>0.98522167500000002</v>
      </c>
      <c r="H68" s="18">
        <v>0.369458128</v>
      </c>
      <c r="I68" s="2"/>
    </row>
    <row r="69" spans="1:9" x14ac:dyDescent="0.2">
      <c r="A69" s="2"/>
      <c r="B69" s="9" t="s">
        <v>72</v>
      </c>
      <c r="C69" s="17">
        <v>3.4355828220000002</v>
      </c>
      <c r="D69" s="18">
        <v>0</v>
      </c>
      <c r="E69" s="19">
        <v>0</v>
      </c>
      <c r="F69" s="18">
        <v>0</v>
      </c>
      <c r="G69" s="19">
        <v>0</v>
      </c>
      <c r="H69" s="18">
        <v>0</v>
      </c>
      <c r="I69" s="2"/>
    </row>
    <row r="70" spans="1:9" x14ac:dyDescent="0.2">
      <c r="A70" s="2"/>
      <c r="B70" s="9" t="s">
        <v>73</v>
      </c>
      <c r="C70" s="17">
        <v>11.16564417</v>
      </c>
      <c r="D70" s="18">
        <v>3.0674846630000001</v>
      </c>
      <c r="E70" s="19">
        <v>2.9447852760000002</v>
      </c>
      <c r="F70" s="18">
        <v>2.5766871170000001</v>
      </c>
      <c r="G70" s="19">
        <v>2.5766871170000001</v>
      </c>
      <c r="H70" s="18">
        <v>0.73619631900000004</v>
      </c>
      <c r="I70" s="2"/>
    </row>
    <row r="71" spans="1:9" x14ac:dyDescent="0.2">
      <c r="A71" s="2"/>
      <c r="B71" s="9" t="s">
        <v>74</v>
      </c>
      <c r="C71" s="17">
        <v>22.33128834</v>
      </c>
      <c r="D71" s="18">
        <v>3.0674846630000001</v>
      </c>
      <c r="E71" s="19">
        <v>1.2269938650000001</v>
      </c>
      <c r="F71" s="18">
        <v>0.36809816000000001</v>
      </c>
      <c r="G71" s="19">
        <v>0.36809816000000001</v>
      </c>
      <c r="H71" s="18">
        <v>0</v>
      </c>
      <c r="I71" s="2"/>
    </row>
    <row r="72" spans="1:9" x14ac:dyDescent="0.2">
      <c r="A72" s="2"/>
      <c r="B72" s="9" t="s">
        <v>75</v>
      </c>
      <c r="C72" s="17">
        <v>3.0674846630000001</v>
      </c>
      <c r="D72" s="18">
        <v>0.36809816000000001</v>
      </c>
      <c r="E72" s="19">
        <v>0</v>
      </c>
      <c r="F72" s="18">
        <v>0</v>
      </c>
      <c r="G72" s="19">
        <v>0</v>
      </c>
      <c r="H72" s="18">
        <v>0</v>
      </c>
      <c r="I72" s="2"/>
    </row>
    <row r="73" spans="1:9" x14ac:dyDescent="0.2">
      <c r="A73" s="2"/>
      <c r="B73" s="9" t="s">
        <v>76</v>
      </c>
      <c r="C73" s="17">
        <v>0.12269938699999999</v>
      </c>
      <c r="D73" s="18">
        <v>0</v>
      </c>
      <c r="E73" s="19">
        <v>0</v>
      </c>
      <c r="F73" s="18">
        <v>0</v>
      </c>
      <c r="G73" s="19">
        <v>0</v>
      </c>
      <c r="H73" s="18">
        <v>0</v>
      </c>
      <c r="I73" s="2"/>
    </row>
    <row r="74" spans="1:9" x14ac:dyDescent="0.2">
      <c r="A74" s="2"/>
      <c r="B74" s="9" t="s">
        <v>77</v>
      </c>
      <c r="C74" s="17">
        <v>88.343558279999996</v>
      </c>
      <c r="D74" s="18">
        <v>3.0674846630000001</v>
      </c>
      <c r="E74" s="19">
        <v>1.4723926380000001</v>
      </c>
      <c r="F74" s="18">
        <v>0.73619631900000004</v>
      </c>
      <c r="G74" s="19">
        <v>0.73619631900000004</v>
      </c>
      <c r="H74" s="18">
        <v>0.36809816000000001</v>
      </c>
      <c r="I74" s="2"/>
    </row>
    <row r="75" spans="1:9" x14ac:dyDescent="0.2">
      <c r="A75" s="2"/>
      <c r="B75" s="9" t="s">
        <v>78</v>
      </c>
      <c r="C75" s="17">
        <v>57.423312879999997</v>
      </c>
      <c r="D75" s="18">
        <v>2.6993865029999999</v>
      </c>
      <c r="E75" s="19">
        <v>2.6993865029999999</v>
      </c>
      <c r="F75" s="18">
        <v>2.6993865029999999</v>
      </c>
      <c r="G75" s="19">
        <v>2.4539877300000001</v>
      </c>
      <c r="H75" s="18">
        <v>0.73619631900000004</v>
      </c>
      <c r="I75" s="2"/>
    </row>
    <row r="76" spans="1:9" x14ac:dyDescent="0.2">
      <c r="A76" s="2"/>
      <c r="B76" s="9" t="s">
        <v>79</v>
      </c>
      <c r="C76" s="17">
        <v>12.80788177</v>
      </c>
      <c r="D76" s="18">
        <v>6.1576354679999996</v>
      </c>
      <c r="E76" s="19">
        <v>2.709359606</v>
      </c>
      <c r="F76" s="18">
        <v>2.709359606</v>
      </c>
      <c r="G76" s="19">
        <v>2.709359606</v>
      </c>
      <c r="H76" s="18">
        <v>0.369458128</v>
      </c>
      <c r="I76" s="2"/>
    </row>
    <row r="77" spans="1:9" x14ac:dyDescent="0.2">
      <c r="A77" s="2"/>
      <c r="B77" s="9" t="s">
        <v>80</v>
      </c>
      <c r="C77" s="17">
        <v>2.3312883439999998</v>
      </c>
      <c r="D77" s="18">
        <v>0</v>
      </c>
      <c r="E77" s="19">
        <v>0</v>
      </c>
      <c r="F77" s="18">
        <v>0</v>
      </c>
      <c r="G77" s="19">
        <v>0</v>
      </c>
      <c r="H77" s="18">
        <v>0</v>
      </c>
      <c r="I77" s="2"/>
    </row>
    <row r="78" spans="1:9" x14ac:dyDescent="0.2">
      <c r="A78" s="2"/>
      <c r="B78" s="9" t="s">
        <v>81</v>
      </c>
      <c r="C78" s="17">
        <v>62.699386500000003</v>
      </c>
      <c r="D78" s="18">
        <v>3.0674846630000001</v>
      </c>
      <c r="E78" s="19">
        <v>1.9631901839999999</v>
      </c>
      <c r="F78" s="18">
        <v>1.2269938650000001</v>
      </c>
      <c r="G78" s="19">
        <v>0.73619631900000004</v>
      </c>
      <c r="H78" s="18">
        <v>0.61349693299999997</v>
      </c>
      <c r="I78" s="2"/>
    </row>
    <row r="79" spans="1:9" x14ac:dyDescent="0.2">
      <c r="A79" s="2"/>
      <c r="B79" s="9" t="s">
        <v>82</v>
      </c>
      <c r="C79" s="17">
        <v>3.0674846630000001</v>
      </c>
      <c r="D79" s="18">
        <v>0</v>
      </c>
      <c r="E79" s="19">
        <v>0</v>
      </c>
      <c r="F79" s="18">
        <v>0</v>
      </c>
      <c r="G79" s="19">
        <v>0</v>
      </c>
      <c r="H79" s="18">
        <v>0</v>
      </c>
      <c r="I79" s="2"/>
    </row>
    <row r="80" spans="1:9" x14ac:dyDescent="0.2">
      <c r="A80" s="2"/>
      <c r="B80" s="9" t="s">
        <v>83</v>
      </c>
      <c r="C80" s="17">
        <v>7.663782447</v>
      </c>
      <c r="D80" s="18">
        <v>2.3485784920000001</v>
      </c>
      <c r="E80" s="19">
        <v>2.3485784920000001</v>
      </c>
      <c r="F80" s="18">
        <v>2.3485784920000001</v>
      </c>
      <c r="G80" s="19">
        <v>0.86526575999999999</v>
      </c>
      <c r="H80" s="18">
        <v>0</v>
      </c>
      <c r="I80" s="2"/>
    </row>
    <row r="81" spans="1:9" x14ac:dyDescent="0.2">
      <c r="A81" s="2"/>
      <c r="B81" s="9" t="s">
        <v>84</v>
      </c>
      <c r="C81" s="17">
        <v>0</v>
      </c>
      <c r="D81" s="18">
        <v>0</v>
      </c>
      <c r="E81" s="19">
        <v>0</v>
      </c>
      <c r="F81" s="18">
        <v>0</v>
      </c>
      <c r="G81" s="19">
        <v>0</v>
      </c>
      <c r="H81" s="18">
        <v>0</v>
      </c>
      <c r="I81" s="2"/>
    </row>
    <row r="82" spans="1:9" x14ac:dyDescent="0.2">
      <c r="A82" s="2"/>
      <c r="B82" s="9" t="s">
        <v>85</v>
      </c>
      <c r="C82" s="17">
        <v>2.6993865029999999</v>
      </c>
      <c r="D82" s="18">
        <v>0</v>
      </c>
      <c r="E82" s="19">
        <v>0</v>
      </c>
      <c r="F82" s="18">
        <v>0</v>
      </c>
      <c r="G82" s="19">
        <v>0</v>
      </c>
      <c r="H82" s="18">
        <v>0</v>
      </c>
      <c r="I82" s="2"/>
    </row>
    <row r="83" spans="1:9" x14ac:dyDescent="0.2">
      <c r="A83" s="2"/>
      <c r="B83" s="9" t="s">
        <v>86</v>
      </c>
      <c r="C83" s="17">
        <v>0.24539877299999999</v>
      </c>
      <c r="D83" s="18">
        <v>0</v>
      </c>
      <c r="E83" s="19">
        <v>0</v>
      </c>
      <c r="F83" s="18">
        <v>0</v>
      </c>
      <c r="G83" s="19">
        <v>0</v>
      </c>
      <c r="H83" s="18">
        <v>0</v>
      </c>
      <c r="I83" s="2"/>
    </row>
    <row r="84" spans="1:9" x14ac:dyDescent="0.2">
      <c r="A84" s="2"/>
      <c r="B84" s="9" t="s">
        <v>87</v>
      </c>
      <c r="C84" s="17">
        <v>3.0674846630000001</v>
      </c>
      <c r="D84" s="18">
        <v>0.49079754599999997</v>
      </c>
      <c r="E84" s="19">
        <v>0.36809816000000001</v>
      </c>
      <c r="F84" s="18">
        <v>0</v>
      </c>
      <c r="G84" s="19">
        <v>0</v>
      </c>
      <c r="H84" s="18">
        <v>0</v>
      </c>
      <c r="I84" s="2"/>
    </row>
    <row r="85" spans="1:9" x14ac:dyDescent="0.2">
      <c r="A85" s="2"/>
      <c r="B85" s="9" t="s">
        <v>88</v>
      </c>
      <c r="C85" s="17">
        <v>9.0234857850000001</v>
      </c>
      <c r="D85" s="18">
        <v>2.3485784920000001</v>
      </c>
      <c r="E85" s="19">
        <v>2.3485784920000001</v>
      </c>
      <c r="F85" s="18">
        <v>2.3485784920000001</v>
      </c>
      <c r="G85" s="19">
        <v>2.3485784920000001</v>
      </c>
      <c r="H85" s="18">
        <v>0</v>
      </c>
      <c r="I85" s="2"/>
    </row>
    <row r="86" spans="1:9" x14ac:dyDescent="0.2">
      <c r="A86" s="2"/>
      <c r="B86" s="9" t="s">
        <v>89</v>
      </c>
      <c r="C86" s="17">
        <v>63.90605686</v>
      </c>
      <c r="D86" s="18">
        <v>7.663782447</v>
      </c>
      <c r="E86" s="19">
        <v>2.3485784920000001</v>
      </c>
      <c r="F86" s="18">
        <v>2.3485784920000001</v>
      </c>
      <c r="G86" s="19">
        <v>2.3485784920000001</v>
      </c>
      <c r="H86" s="18">
        <v>0</v>
      </c>
      <c r="I86" s="2"/>
    </row>
    <row r="87" spans="1:9" x14ac:dyDescent="0.2">
      <c r="A87" s="2"/>
      <c r="B87" s="9" t="s">
        <v>90</v>
      </c>
      <c r="C87" s="17">
        <v>3.0674846630000001</v>
      </c>
      <c r="D87" s="18">
        <v>0</v>
      </c>
      <c r="E87" s="19">
        <v>0</v>
      </c>
      <c r="F87" s="18">
        <v>0</v>
      </c>
      <c r="G87" s="19">
        <v>0</v>
      </c>
      <c r="H87" s="18">
        <v>0</v>
      </c>
      <c r="I87" s="2"/>
    </row>
    <row r="88" spans="1:9" ht="17" thickBot="1" x14ac:dyDescent="0.25">
      <c r="A88" s="2"/>
      <c r="B88" s="13" t="s">
        <v>91</v>
      </c>
      <c r="C88" s="20">
        <v>4.171779141</v>
      </c>
      <c r="D88" s="21">
        <v>2.8220858899999999</v>
      </c>
      <c r="E88" s="22">
        <v>1.9631901839999999</v>
      </c>
      <c r="F88" s="21">
        <v>1.2269938650000001</v>
      </c>
      <c r="G88" s="22">
        <v>0.73619631900000004</v>
      </c>
      <c r="H88" s="21">
        <v>0.36809816000000001</v>
      </c>
      <c r="I88" s="2"/>
    </row>
    <row r="89" spans="1:9" ht="17" thickBot="1" x14ac:dyDescent="0.25">
      <c r="A89" s="2"/>
      <c r="B89" s="13" t="s">
        <v>95</v>
      </c>
      <c r="C89" s="26">
        <f>COUNTIF(C4:C88,"&gt;5")</f>
        <v>32</v>
      </c>
      <c r="D89" s="26">
        <f t="shared" ref="D89:H89" si="0">COUNTIF(D4:D88,"&gt;5")</f>
        <v>13</v>
      </c>
      <c r="E89" s="26">
        <f t="shared" si="0"/>
        <v>1</v>
      </c>
      <c r="F89" s="26">
        <f t="shared" si="0"/>
        <v>1</v>
      </c>
      <c r="G89" s="26">
        <f t="shared" si="0"/>
        <v>1</v>
      </c>
      <c r="H89" s="27">
        <f t="shared" si="0"/>
        <v>0</v>
      </c>
      <c r="I89" s="2"/>
    </row>
    <row r="90" spans="1:9" x14ac:dyDescent="0.2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">
      <c r="C91" s="1"/>
      <c r="D91" s="1"/>
      <c r="E91" s="1"/>
      <c r="F91" s="1"/>
      <c r="G91" s="1"/>
    </row>
  </sheetData>
  <mergeCells count="1">
    <mergeCell ref="C2:H2"/>
  </mergeCells>
  <conditionalFormatting sqref="C4:H88">
    <cfRule type="colorScale" priority="1">
      <colorScale>
        <cfvo type="min"/>
        <cfvo type="max"/>
        <color theme="0"/>
        <color rgb="FFC00000"/>
      </colorScale>
    </cfRule>
  </conditionalFormatting>
  <pageMargins left="0.75" right="0.75" top="1" bottom="1" header="0.5" footer="0.5"/>
  <pageSetup paperSize="9" scale="47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Missingness_no</vt:lpstr>
      <vt:lpstr>Missingness_%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Bloom, Ellie</cp:lastModifiedBy>
  <cp:lastPrinted>2022-05-20T10:42:07Z</cp:lastPrinted>
  <dcterms:created xsi:type="dcterms:W3CDTF">2022-05-20T09:29:21Z</dcterms:created>
  <dcterms:modified xsi:type="dcterms:W3CDTF">2022-05-20T11:05:00Z</dcterms:modified>
</cp:coreProperties>
</file>